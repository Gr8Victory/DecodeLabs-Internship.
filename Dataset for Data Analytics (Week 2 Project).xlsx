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ownloads\"/>
    </mc:Choice>
  </mc:AlternateContent>
  <xr:revisionPtr revIDLastSave="0" documentId="8_{A3EE4FE3-0985-446D-8F17-B0974C7BEFE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Original Dataset" sheetId="1" r:id="rId1"/>
    <sheet name="Transformed dataset" sheetId="2" r:id="rId2"/>
    <sheet name="Trends Analysis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2" l="1"/>
  <c r="W11" i="2"/>
  <c r="V11" i="2"/>
  <c r="X10" i="2"/>
  <c r="W10" i="2"/>
  <c r="V10" i="2"/>
  <c r="X9" i="2"/>
  <c r="W9" i="2"/>
  <c r="V9" i="2"/>
  <c r="X8" i="2"/>
  <c r="X6" i="2"/>
  <c r="W6" i="2"/>
  <c r="V6" i="2"/>
  <c r="W8" i="2"/>
  <c r="V8" i="2"/>
  <c r="W7" i="2"/>
  <c r="X7" i="2"/>
  <c r="V7" i="2"/>
  <c r="V5" i="2"/>
  <c r="W5" i="2"/>
  <c r="X5" i="2"/>
</calcChain>
</file>

<file path=xl/sharedStrings.xml><?xml version="1.0" encoding="utf-8"?>
<sst xmlns="http://schemas.openxmlformats.org/spreadsheetml/2006/main" count="21386" uniqueCount="4321">
  <si>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</si>
  <si>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</si>
  <si>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</si>
  <si>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</si>
  <si>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</si>
  <si>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</si>
  <si>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</si>
  <si>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</si>
  <si>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</si>
  <si>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</si>
  <si>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</si>
  <si>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</si>
  <si>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</si>
  <si>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</si>
  <si>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</si>
  <si>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</si>
  <si>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</si>
  <si>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</si>
  <si>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</si>
  <si>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</si>
  <si>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</si>
  <si>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</si>
  <si>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</si>
  <si>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</si>
  <si>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</si>
  <si>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</si>
  <si>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</si>
  <si>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</si>
  <si>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</si>
  <si>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</si>
  <si>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</si>
  <si>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</si>
  <si>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</si>
  <si>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</si>
  <si>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</si>
  <si>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</si>
  <si>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</si>
  <si>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</si>
  <si>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</si>
  <si>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</si>
  <si>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</si>
  <si>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</si>
  <si>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</si>
  <si>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</si>
  <si>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</si>
  <si>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</si>
  <si>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</si>
  <si>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</si>
  <si>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</si>
  <si>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</si>
  <si>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</si>
  <si>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</si>
  <si>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</si>
  <si>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</si>
  <si>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</si>
  <si>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</si>
  <si>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</si>
  <si>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</si>
  <si>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</si>
  <si>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</si>
  <si>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</si>
  <si>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</si>
  <si>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</si>
  <si>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</si>
  <si>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</si>
  <si>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</si>
  <si>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</si>
  <si>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</si>
  <si>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</si>
  <si>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</si>
  <si>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</si>
  <si>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</si>
  <si>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</si>
  <si>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</si>
  <si>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</si>
  <si>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</si>
  <si>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</si>
  <si>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</si>
  <si>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</si>
  <si>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</si>
  <si>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</si>
  <si>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</si>
  <si>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</si>
  <si>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</si>
  <si>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</si>
  <si>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</si>
  <si>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</si>
  <si>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</si>
  <si>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</si>
  <si>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</si>
  <si>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</si>
  <si>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</si>
  <si>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</si>
  <si>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</si>
  <si>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</si>
  <si>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</si>
  <si>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</si>
  <si>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</si>
  <si>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</si>
  <si>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</si>
  <si>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</si>
  <si>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</si>
  <si>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</si>
  <si>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</si>
  <si>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</si>
  <si>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</si>
  <si>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</si>
  <si>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</si>
  <si>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</si>
  <si>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</si>
  <si>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</si>
  <si>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</si>
  <si>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</si>
  <si>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</si>
  <si>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</si>
  <si>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</si>
  <si>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</si>
  <si>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</si>
  <si>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</si>
  <si>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</si>
  <si>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</si>
  <si>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</si>
  <si>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</si>
  <si>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</si>
  <si>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</si>
  <si>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</si>
  <si>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</si>
  <si>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</si>
  <si>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</si>
  <si>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</si>
  <si>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</si>
  <si>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</si>
  <si>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</si>
  <si>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</si>
  <si>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</si>
  <si>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</si>
  <si>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</si>
  <si>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</si>
  <si>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</si>
  <si>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</si>
  <si>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</si>
  <si>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</si>
  <si>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</si>
  <si>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</si>
  <si>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</si>
  <si>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</si>
  <si>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</si>
  <si>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</si>
  <si>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</si>
  <si>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</si>
  <si>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</si>
  <si>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</si>
  <si>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</si>
  <si>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</si>
  <si>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</si>
  <si>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</si>
  <si>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</si>
  <si>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</si>
  <si>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</si>
  <si>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</si>
  <si>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</si>
  <si>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</si>
  <si>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</si>
  <si>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</si>
  <si>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</si>
  <si>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</si>
  <si>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</si>
  <si>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</si>
  <si>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</si>
  <si>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</si>
  <si>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</si>
  <si>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</si>
  <si>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</si>
  <si>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</si>
  <si>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</si>
  <si>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</si>
  <si>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</si>
  <si>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</si>
  <si>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</si>
  <si>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</si>
  <si>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</si>
  <si>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</si>
  <si>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</si>
  <si>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</si>
  <si>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</si>
  <si>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</si>
  <si>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</si>
  <si>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</si>
  <si>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</si>
  <si>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</si>
  <si>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</si>
  <si>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</si>
  <si>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</si>
  <si>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</si>
  <si>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</si>
  <si>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</si>
  <si>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</si>
  <si>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</si>
  <si>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</si>
  <si>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</si>
  <si>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</si>
  <si>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</si>
  <si>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</si>
  <si>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</si>
  <si>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</si>
  <si>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</si>
  <si>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</si>
  <si>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</si>
  <si>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</si>
  <si>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</si>
  <si>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</si>
  <si>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</si>
  <si>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</si>
  <si>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</si>
  <si>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</si>
  <si>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</si>
  <si>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</si>
  <si>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</si>
  <si>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</si>
  <si>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</si>
  <si>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</si>
  <si>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</si>
  <si>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</si>
  <si>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</si>
  <si>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</si>
  <si>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</si>
  <si>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</si>
  <si>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</si>
  <si>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</si>
  <si>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</si>
  <si>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</si>
  <si>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</si>
  <si>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</si>
  <si>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</si>
  <si>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</si>
  <si>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</si>
  <si>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</si>
  <si>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</si>
  <si>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</si>
  <si>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</si>
  <si>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</si>
  <si>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</si>
  <si>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</si>
  <si>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</si>
  <si>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</si>
  <si>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</si>
  <si>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</si>
  <si>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</si>
  <si>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</si>
  <si>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</si>
  <si>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</si>
  <si>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</si>
  <si>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</si>
  <si>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</si>
  <si>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</si>
  <si>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</si>
  <si>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</si>
  <si>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</si>
  <si>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</si>
  <si>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</si>
  <si>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</si>
  <si>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</si>
  <si>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</si>
  <si>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</si>
  <si>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</si>
  <si>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</si>
  <si>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</si>
  <si>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</si>
  <si>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</si>
  <si>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</si>
  <si>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</si>
  <si>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</si>
  <si>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</si>
  <si>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</si>
  <si>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</si>
  <si>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</si>
  <si>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</si>
  <si>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</si>
  <si>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</si>
  <si>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</si>
  <si>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</si>
  <si>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</si>
  <si>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</si>
  <si>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</si>
  <si>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</si>
  <si>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</si>
  <si>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</si>
  <si>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</si>
  <si>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</si>
  <si>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</si>
  <si>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</si>
  <si>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</si>
  <si>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</si>
  <si>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</si>
  <si>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</si>
  <si>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</si>
  <si>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</si>
  <si>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</si>
  <si>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</si>
  <si>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</si>
  <si>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</si>
  <si>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</si>
  <si>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</si>
  <si>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</si>
  <si>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</si>
  <si>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</si>
  <si>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</si>
  <si>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</si>
  <si>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</si>
  <si>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</si>
  <si>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</si>
  <si>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</si>
  <si>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</si>
  <si>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</si>
  <si>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</si>
  <si>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</si>
  <si>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</si>
  <si>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</si>
  <si>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</si>
  <si>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</si>
  <si>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</si>
  <si>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</si>
  <si>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</si>
  <si>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</si>
  <si>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</si>
  <si>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</si>
  <si>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</si>
  <si>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</si>
  <si>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</si>
  <si>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</si>
  <si>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</si>
  <si>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</si>
  <si>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</si>
  <si>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</si>
  <si>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</si>
  <si>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</si>
  <si>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</si>
  <si>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</si>
  <si>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</si>
  <si>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</si>
  <si>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</si>
  <si>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</si>
  <si>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</si>
  <si>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</si>
  <si>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</si>
  <si>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</si>
  <si>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</si>
  <si>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</si>
  <si>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</si>
  <si>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</si>
  <si>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</si>
  <si>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</si>
  <si>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</si>
  <si>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</si>
  <si>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</si>
  <si>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</si>
  <si>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</si>
  <si>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</si>
  <si>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</si>
  <si>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</si>
  <si>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</si>
  <si>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</si>
  <si>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</si>
  <si>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</si>
  <si>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</si>
  <si>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</si>
  <si>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</si>
  <si>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</si>
  <si>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</si>
  <si>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</si>
  <si>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</si>
  <si>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</si>
  <si>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</si>
  <si>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</si>
  <si>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</si>
  <si>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</si>
  <si>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</si>
  <si>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</si>
  <si>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</si>
  <si>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</si>
  <si>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</si>
  <si>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</si>
  <si>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</si>
  <si>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</si>
  <si>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</si>
  <si>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</si>
  <si>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</si>
  <si>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</si>
  <si>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</si>
  <si>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</si>
  <si>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</si>
  <si>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</si>
  <si>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</si>
  <si>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</si>
  <si>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</si>
  <si>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</si>
  <si>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</si>
  <si>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</si>
  <si>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</si>
  <si>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</si>
  <si>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</si>
  <si>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</si>
  <si>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</si>
  <si>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</si>
  <si>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</si>
  <si>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</si>
  <si>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</si>
  <si>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</si>
  <si>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</si>
  <si>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</si>
  <si>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</si>
  <si>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</si>
  <si>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</si>
  <si>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</si>
  <si>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</si>
  <si>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</si>
  <si>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</si>
  <si>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</si>
  <si>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</si>
  <si>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</si>
  <si>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</si>
  <si>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</si>
  <si>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</si>
  <si>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</si>
  <si>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</si>
  <si>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</si>
  <si>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</si>
  <si>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</si>
  <si>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</si>
  <si>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</si>
  <si>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</si>
  <si>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</si>
  <si>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</si>
  <si>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</si>
  <si>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</si>
  <si>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</si>
  <si>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</si>
  <si>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</si>
  <si>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</si>
  <si>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</si>
  <si>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</si>
  <si>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</si>
  <si>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</si>
  <si>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</si>
  <si>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</si>
  <si>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</si>
  <si>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</si>
  <si>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</si>
  <si>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</si>
  <si>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</si>
  <si>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</si>
  <si>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</si>
  <si>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</si>
  <si>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</si>
  <si>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</si>
  <si>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</si>
  <si>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</si>
  <si>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</si>
  <si>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</si>
  <si>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</si>
  <si>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</si>
  <si>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</si>
  <si>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</si>
  <si>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</si>
  <si>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</si>
  <si>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</si>
  <si>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</si>
  <si>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</si>
  <si>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</si>
  <si>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</si>
  <si>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</si>
  <si>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</si>
  <si>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</si>
  <si>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</si>
  <si>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</si>
  <si>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</si>
  <si>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</si>
  <si>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</si>
  <si>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</si>
  <si>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</si>
  <si>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</si>
  <si>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</si>
  <si>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</si>
  <si>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</si>
  <si>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</si>
  <si>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</si>
  <si>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</si>
  <si>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</si>
  <si>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</si>
  <si>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</si>
  <si>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</si>
  <si>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</si>
  <si>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</si>
  <si>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</si>
  <si>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</si>
  <si>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</si>
  <si>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</si>
  <si>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</si>
  <si>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</si>
  <si>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</si>
  <si>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</si>
  <si>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</si>
  <si>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</si>
  <si>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</si>
  <si>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</si>
  <si>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</si>
  <si>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</si>
  <si>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</si>
  <si>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</si>
  <si>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</si>
  <si>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</si>
  <si>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</si>
  <si>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</si>
  <si>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</si>
  <si>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</si>
  <si>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</si>
  <si>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</si>
  <si>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</si>
  <si>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</si>
  <si>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</si>
  <si>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</si>
  <si>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</si>
  <si>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</si>
  <si>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</si>
  <si>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</si>
  <si>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</si>
  <si>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</si>
  <si>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</si>
  <si>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</si>
  <si>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</si>
  <si>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</si>
  <si>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</si>
  <si>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</si>
  <si>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</si>
  <si>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</si>
  <si>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</si>
  <si>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</si>
  <si>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</si>
  <si>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</si>
  <si>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</si>
  <si>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</si>
  <si>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</si>
  <si>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</si>
  <si>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</si>
  <si>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</si>
  <si>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</si>
  <si>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</si>
  <si>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</si>
  <si>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</si>
  <si>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</si>
  <si>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</si>
  <si>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</si>
  <si>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</si>
  <si>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</si>
  <si>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</si>
  <si>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</si>
  <si>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</si>
  <si>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</si>
  <si>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</si>
  <si>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</si>
  <si>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</si>
  <si>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</si>
  <si>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</si>
  <si>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</si>
  <si>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</si>
  <si>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</si>
  <si>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</si>
  <si>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</si>
  <si>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</si>
  <si>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</si>
  <si>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</si>
  <si>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</si>
  <si>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</si>
  <si>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</si>
  <si>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</si>
  <si>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</si>
  <si>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</si>
  <si>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</si>
  <si>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</si>
  <si>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</si>
  <si>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</si>
  <si>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</si>
  <si>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</si>
  <si>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</si>
  <si>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</si>
  <si>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</si>
  <si>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</si>
  <si>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</si>
  <si>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</si>
  <si>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</si>
  <si>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</si>
  <si>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</si>
  <si>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</si>
  <si>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</si>
  <si>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</si>
  <si>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</si>
  <si>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</si>
  <si>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</si>
  <si>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</si>
  <si>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</si>
  <si>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</si>
  <si>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</si>
  <si>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</si>
  <si>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</si>
  <si>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</si>
  <si>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</si>
  <si>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</si>
  <si>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</si>
  <si>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</si>
  <si>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</si>
  <si>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</si>
  <si>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</si>
  <si>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</si>
  <si>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</si>
  <si>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</si>
  <si>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</si>
  <si>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</si>
  <si>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</si>
  <si>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</si>
  <si>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</si>
  <si>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</si>
  <si>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</si>
  <si>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</si>
  <si>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</si>
  <si>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</si>
  <si>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</si>
  <si>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</si>
  <si>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</si>
  <si>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</si>
  <si>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</si>
  <si>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</si>
  <si>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</si>
  <si>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</si>
  <si>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</si>
  <si>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</si>
  <si>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</si>
  <si>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</si>
  <si>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</si>
  <si>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</si>
  <si>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</si>
  <si>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</si>
  <si>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</si>
  <si>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</si>
  <si>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</si>
  <si>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</si>
  <si>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</si>
  <si>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</si>
  <si>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</si>
  <si>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</si>
  <si>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</si>
  <si>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</si>
  <si>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</si>
  <si>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</si>
  <si>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</si>
  <si>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</si>
  <si>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</si>
  <si>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</si>
  <si>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</si>
  <si>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</si>
  <si>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</si>
  <si>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</si>
  <si>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</si>
  <si>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</si>
  <si>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</si>
  <si>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</si>
  <si>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</si>
  <si>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</si>
  <si>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</si>
  <si>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</si>
  <si>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</si>
  <si>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</si>
  <si>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</si>
  <si>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</si>
  <si>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</si>
  <si>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</si>
  <si>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</si>
  <si>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</si>
  <si>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</si>
  <si>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</si>
  <si>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</si>
  <si>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</si>
  <si>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</si>
  <si>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</si>
  <si>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</si>
  <si>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</si>
  <si>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</si>
  <si>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</si>
  <si>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</si>
  <si>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</si>
  <si>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</si>
  <si>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</si>
  <si>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</si>
  <si>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</si>
  <si>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</si>
  <si>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</si>
  <si>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</si>
  <si>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</si>
  <si>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</si>
  <si>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</si>
  <si>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</si>
  <si>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</si>
  <si>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</si>
  <si>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</si>
  <si>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</si>
  <si>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</si>
  <si>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</si>
  <si>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</si>
  <si>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</si>
  <si>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</si>
  <si>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</si>
  <si>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</si>
  <si>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</si>
  <si>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</si>
  <si>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</si>
  <si>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</si>
  <si>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</si>
  <si>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</si>
  <si>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</si>
  <si>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</si>
  <si>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</si>
  <si>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</si>
  <si>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</si>
  <si>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</si>
  <si>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</si>
  <si>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</si>
  <si>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</si>
  <si>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</si>
  <si>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</si>
  <si>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</si>
  <si>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</si>
  <si>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</si>
  <si>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</si>
  <si>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</si>
  <si>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</si>
  <si>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</si>
  <si>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</si>
  <si>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</si>
  <si>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</si>
  <si>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</si>
  <si>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</si>
  <si>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</si>
  <si>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</si>
  <si>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</si>
  <si>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</si>
  <si>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</si>
  <si>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</si>
  <si>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</si>
  <si>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</si>
  <si>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</si>
  <si>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</si>
  <si>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</si>
  <si>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</si>
  <si>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</si>
  <si>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</si>
  <si>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</si>
  <si>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</si>
  <si>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</si>
  <si>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</si>
  <si>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</si>
  <si>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</si>
  <si>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</si>
  <si>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</si>
  <si>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</si>
  <si>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</si>
  <si>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</si>
  <si>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</si>
  <si>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</si>
  <si>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</si>
  <si>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</si>
  <si>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</si>
  <si>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</si>
  <si>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</si>
  <si>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</si>
  <si>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</si>
  <si>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</si>
  <si>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</si>
  <si>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</si>
  <si>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</si>
  <si>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</si>
  <si>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</si>
  <si>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</si>
  <si>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</si>
  <si>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</si>
  <si>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</si>
  <si>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</si>
  <si>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</si>
  <si>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</si>
  <si>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</si>
  <si>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</si>
  <si>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</si>
  <si>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</si>
  <si>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</si>
  <si>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</si>
  <si>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</si>
  <si>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</si>
  <si>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</si>
  <si>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</si>
  <si>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</si>
  <si>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</si>
  <si>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</si>
  <si>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</si>
  <si>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</si>
  <si>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</si>
  <si>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</si>
  <si>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</si>
  <si>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</si>
  <si>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</si>
  <si>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</si>
  <si>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</si>
  <si>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</si>
  <si>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</si>
  <si>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</si>
  <si>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</si>
  <si>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</si>
  <si>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</si>
  <si>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</si>
  <si>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</si>
  <si>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</si>
  <si>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</si>
  <si>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</si>
  <si>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</si>
  <si>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</si>
  <si>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</si>
  <si>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</si>
  <si>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</si>
  <si>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</si>
  <si>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</si>
  <si>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</si>
  <si>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</si>
  <si>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</si>
  <si>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</si>
  <si>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</si>
  <si>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</si>
  <si>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</si>
  <si>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</si>
  <si>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</si>
  <si>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</si>
  <si>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</si>
  <si>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</si>
  <si>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</si>
  <si>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</si>
  <si>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</si>
  <si>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</si>
  <si>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</si>
  <si>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</si>
  <si>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</si>
  <si>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</si>
  <si>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</si>
  <si>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</si>
  <si>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</si>
  <si>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</si>
  <si>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</si>
  <si>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</si>
  <si>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</si>
  <si>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</si>
  <si>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</si>
  <si>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</si>
  <si>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</si>
  <si>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</si>
  <si>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</si>
  <si>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</si>
  <si>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</si>
  <si>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</si>
  <si>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</si>
  <si>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</si>
  <si>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</si>
  <si>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</si>
  <si>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</si>
  <si>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</si>
  <si>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</si>
  <si>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</si>
  <si>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</si>
  <si>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</si>
  <si>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</si>
  <si>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</si>
  <si>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</si>
  <si>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</si>
  <si>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</si>
  <si>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</si>
  <si>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</si>
  <si>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</si>
  <si>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</si>
  <si>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</si>
  <si>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</si>
  <si>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</si>
  <si>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</si>
  <si>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</si>
  <si>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</si>
  <si>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</si>
  <si>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</si>
  <si>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</si>
  <si>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</si>
  <si>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</si>
  <si>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</si>
  <si>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</si>
  <si>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</si>
  <si>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</si>
  <si>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</si>
  <si>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</si>
  <si>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</si>
  <si>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</si>
  <si>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</si>
  <si>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</si>
  <si>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</si>
  <si>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</si>
  <si>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</si>
  <si>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</si>
  <si>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</si>
  <si>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</si>
  <si>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</si>
  <si>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</si>
  <si>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</si>
  <si>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</si>
  <si>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</si>
  <si>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</si>
  <si>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</si>
  <si>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</si>
  <si>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</si>
  <si>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</si>
  <si>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</si>
  <si>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</si>
  <si>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</si>
  <si>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</si>
  <si>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</si>
  <si>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</si>
  <si>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</si>
  <si>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</si>
  <si>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</si>
  <si>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</si>
  <si>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</si>
  <si>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</si>
  <si>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</si>
  <si>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</si>
  <si>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</si>
  <si>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</si>
  <si>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</si>
  <si>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</si>
  <si>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</si>
  <si>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</si>
  <si>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</si>
  <si>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</si>
  <si>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</si>
  <si>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</si>
  <si>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</si>
  <si>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</si>
  <si>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</si>
  <si>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</si>
  <si>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</si>
  <si>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</si>
  <si>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</si>
  <si>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</si>
  <si>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</si>
  <si>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</si>
  <si>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</si>
  <si>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</si>
  <si>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</si>
  <si>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</si>
  <si>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</si>
  <si>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</si>
  <si>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</si>
  <si>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</si>
  <si>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</si>
  <si>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</si>
  <si>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</si>
  <si>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</si>
  <si>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</si>
  <si>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</si>
  <si>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</si>
  <si>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</si>
  <si>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</si>
  <si>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</si>
  <si>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</si>
  <si>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</si>
  <si>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</si>
  <si>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</si>
  <si>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</si>
  <si>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</si>
  <si>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</si>
  <si>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</si>
  <si>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</si>
  <si>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</si>
  <si>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</si>
  <si>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</si>
  <si>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</si>
  <si>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</si>
  <si>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</si>
  <si>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</si>
  <si>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</si>
  <si>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</si>
  <si>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</si>
  <si>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</si>
  <si>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</si>
  <si>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</si>
  <si>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</si>
  <si>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</si>
  <si>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</si>
  <si>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</si>
  <si>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</si>
  <si>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</si>
  <si>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</si>
  <si>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</si>
  <si>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</si>
  <si>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</si>
  <si>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</si>
  <si>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</si>
  <si>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</si>
  <si>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</si>
  <si>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</si>
  <si>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</si>
  <si>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</si>
  <si>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</si>
  <si>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</si>
  <si>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</si>
  <si>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</si>
  <si>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</si>
  <si>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</si>
  <si>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</si>
  <si>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</si>
  <si>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</si>
  <si>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</si>
  <si>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</si>
  <si>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</si>
  <si>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</si>
  <si>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</si>
  <si>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</si>
  <si>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</si>
  <si>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</si>
  <si>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</si>
  <si>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</si>
  <si>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</si>
  <si>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</si>
  <si>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</si>
  <si>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</si>
  <si>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</si>
  <si>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</si>
  <si>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</si>
  <si>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</si>
  <si>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</si>
  <si>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</si>
  <si>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</si>
  <si>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</si>
  <si>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</si>
  <si>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</si>
  <si>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</si>
  <si>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</si>
  <si>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</si>
  <si>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</si>
  <si>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</si>
  <si>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</si>
  <si>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</si>
  <si>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</si>
  <si>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</si>
  <si>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</si>
  <si>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</si>
  <si>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</si>
  <si>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</si>
  <si>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</si>
  <si>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</si>
  <si>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</si>
  <si>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</si>
  <si>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</si>
  <si>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</si>
  <si>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</si>
  <si>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</si>
  <si>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</si>
  <si>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</si>
  <si>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</si>
  <si>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</si>
  <si>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</si>
  <si>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</si>
  <si>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</si>
  <si>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</si>
  <si>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</si>
  <si>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</si>
  <si>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</si>
  <si>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</si>
  <si>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</si>
  <si>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</si>
  <si>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</si>
  <si>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</si>
  <si>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</si>
  <si>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</si>
  <si>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</si>
  <si>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</si>
  <si>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</si>
  <si>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</si>
  <si>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</si>
  <si>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</si>
  <si>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</si>
  <si>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</si>
  <si>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</si>
  <si>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</si>
  <si>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</si>
  <si>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</si>
  <si>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</si>
  <si>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</si>
  <si>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</si>
  <si>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</si>
  <si>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</si>
  <si>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</si>
  <si>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</si>
  <si>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</si>
  <si>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</si>
  <si>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</si>
  <si>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</si>
  <si>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</si>
  <si>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</si>
  <si>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</si>
  <si>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</si>
  <si>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</si>
  <si>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</si>
  <si>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</si>
  <si>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</si>
  <si>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</si>
  <si>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</si>
  <si>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</si>
  <si>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</si>
  <si>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</si>
  <si>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</si>
  <si>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</si>
  <si>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</si>
  <si>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</si>
  <si>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</si>
  <si>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</si>
  <si>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</si>
  <si>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</si>
  <si>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</si>
  <si>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</si>
  <si>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</si>
  <si>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</si>
  <si>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</si>
  <si>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</si>
  <si>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</si>
  <si>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</si>
  <si>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</si>
  <si>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</si>
  <si>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</si>
  <si>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</si>
  <si>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</si>
  <si>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</si>
  <si>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</si>
  <si>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</si>
  <si>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</si>
  <si>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</si>
  <si>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</si>
  <si>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</si>
  <si>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</si>
  <si>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</si>
  <si>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</si>
  <si>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</si>
  <si>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</si>
  <si>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</si>
  <si>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</si>
  <si>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</si>
  <si>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</si>
  <si>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</si>
  <si>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</si>
  <si>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</si>
  <si>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</si>
  <si>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</si>
  <si>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</si>
  <si>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</si>
  <si>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</si>
  <si>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</si>
  <si>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</si>
  <si>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</si>
  <si>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</si>
  <si>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</si>
  <si>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</si>
  <si>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</si>
  <si>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</si>
  <si>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</si>
  <si>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</si>
  <si>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</si>
  <si>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</si>
  <si>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</si>
  <si>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</si>
  <si>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</si>
  <si>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</si>
  <si>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</si>
  <si>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</si>
  <si>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</si>
  <si>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</si>
  <si>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</si>
  <si>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</si>
  <si>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</si>
  <si>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</si>
  <si>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</si>
  <si>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</si>
  <si>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</si>
  <si>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</si>
  <si>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</si>
  <si>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</si>
  <si>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</si>
  <si>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</si>
  <si>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</si>
  <si>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</si>
  <si>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</si>
  <si>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</si>
  <si>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</si>
  <si>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</si>
  <si>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</si>
  <si>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</si>
  <si>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</si>
  <si>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</si>
  <si>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</si>
  <si>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</si>
  <si>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</si>
  <si>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</si>
  <si>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</si>
  <si>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</si>
  <si>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</si>
  <si>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</si>
  <si>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</si>
  <si>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</si>
  <si>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</si>
  <si>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</si>
  <si>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</si>
  <si>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</si>
  <si>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</si>
  <si>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</si>
  <si>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</si>
  <si>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</si>
  <si>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</si>
  <si>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</si>
  <si>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</si>
  <si>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</si>
  <si>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</si>
  <si>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</si>
  <si>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</si>
  <si>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</si>
  <si>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</si>
  <si>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</si>
  <si>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</si>
  <si>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</si>
  <si>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</si>
  <si>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</si>
  <si>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</si>
  <si>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</si>
  <si>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</si>
  <si>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</si>
  <si>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</si>
  <si>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</si>
  <si>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</si>
  <si>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</si>
  <si>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</si>
  <si>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</si>
  <si>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</si>
  <si>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</si>
  <si>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</si>
  <si>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</si>
  <si>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</si>
  <si>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</si>
  <si>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</si>
  <si>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</si>
  <si>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</si>
  <si>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</si>
  <si>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</si>
  <si>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</si>
  <si>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</si>
  <si>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</si>
  <si>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</si>
  <si>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</si>
  <si>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</si>
  <si>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</si>
  <si>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</si>
  <si>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</si>
  <si>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</si>
  <si>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</si>
  <si>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</si>
  <si>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</si>
  <si>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</si>
  <si>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</si>
  <si>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</si>
  <si>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</si>
  <si>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</si>
  <si>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</si>
  <si>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</si>
  <si>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</si>
  <si>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</si>
  <si>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</si>
  <si>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</si>
  <si>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</si>
  <si>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</si>
  <si>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</si>
  <si>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</si>
  <si>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</si>
  <si>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</si>
  <si>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</si>
  <si>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</si>
  <si>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</si>
  <si>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</si>
  <si>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</si>
  <si>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</si>
  <si>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</si>
  <si>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</si>
  <si>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</si>
  <si>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</si>
  <si>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</si>
  <si>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</si>
  <si>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</si>
  <si>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</si>
  <si>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</si>
  <si>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</si>
  <si>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</si>
  <si>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</si>
  <si>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</si>
  <si>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</si>
  <si>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</si>
  <si>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</si>
  <si>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</si>
  <si>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</si>
  <si>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</si>
  <si>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</si>
  <si>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</si>
  <si>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</si>
  <si>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</si>
  <si>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</si>
  <si>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</si>
  <si>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</si>
  <si>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</si>
  <si>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</si>
  <si>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</si>
  <si>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</si>
  <si>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</si>
  <si>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</si>
  <si>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</si>
  <si>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</si>
  <si>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</si>
  <si>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</si>
  <si>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</si>
  <si>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</si>
  <si>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</si>
  <si>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</si>
  <si>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</si>
  <si>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</si>
  <si>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</si>
  <si>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</si>
  <si>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</si>
  <si>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</si>
  <si>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</si>
  <si>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</si>
  <si>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</si>
  <si>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</si>
  <si>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</si>
  <si>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</si>
  <si>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</si>
  <si>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</si>
  <si>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</si>
  <si>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</si>
  <si>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</si>
  <si>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</si>
  <si>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</si>
  <si>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</si>
  <si>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</si>
  <si>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</si>
  <si>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</si>
  <si>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</si>
  <si>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</si>
  <si>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</si>
  <si>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</si>
  <si>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</si>
  <si>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</si>
  <si>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</si>
  <si>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</si>
  <si>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</si>
  <si>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</si>
  <si>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</si>
  <si>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</si>
  <si>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</si>
  <si>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</si>
  <si>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</si>
  <si>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</si>
  <si>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</si>
  <si>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</si>
  <si>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</si>
  <si>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</si>
  <si>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</si>
  <si>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</si>
  <si>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</si>
  <si>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</si>
  <si>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</si>
  <si>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</si>
  <si>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</si>
  <si>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</si>
  <si>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</si>
  <si>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</si>
  <si>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</si>
  <si>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</si>
  <si>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</si>
  <si>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</si>
  <si>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</si>
  <si>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</si>
  <si>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</si>
  <si>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</si>
  <si>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</si>
  <si>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</si>
  <si>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</si>
  <si>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</si>
  <si>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</si>
  <si>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</si>
  <si>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</si>
  <si>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</si>
  <si>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</si>
  <si>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</si>
  <si>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</si>
  <si>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</si>
  <si>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</si>
  <si>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</si>
  <si>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</si>
  <si>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</si>
  <si>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</si>
  <si>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</si>
  <si>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</si>
  <si>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</si>
  <si>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</si>
  <si>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</si>
  <si>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</si>
  <si>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</si>
  <si>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</si>
  <si>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</si>
  <si>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</si>
  <si>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</si>
  <si>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</si>
  <si>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</si>
  <si>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</si>
  <si>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</si>
  <si>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</si>
  <si>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</si>
  <si>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</si>
  <si>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</si>
  <si>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</si>
  <si>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</si>
  <si>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</si>
  <si>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</si>
  <si>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</si>
  <si>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</si>
  <si>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</si>
  <si>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</si>
  <si>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</si>
  <si>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</si>
  <si>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</si>
  <si>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</si>
  <si>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</si>
  <si>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</si>
  <si>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</si>
  <si>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</si>
  <si>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</si>
  <si>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</si>
  <si>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</si>
  <si>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</si>
  <si>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</si>
  <si>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</si>
  <si>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</si>
  <si>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</si>
  <si>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</si>
  <si>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</si>
  <si>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</si>
  <si>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</si>
  <si>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</si>
  <si>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</si>
  <si>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</si>
  <si>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</si>
  <si>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</si>
  <si>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</si>
  <si>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</si>
  <si>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</si>
  <si>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</si>
  <si>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</si>
  <si>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</si>
  <si>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</si>
  <si>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</si>
  <si>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</si>
  <si>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</si>
  <si>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</si>
  <si>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</si>
  <si>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</si>
  <si>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</si>
  <si>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</si>
  <si>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</si>
  <si>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</si>
  <si>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</si>
  <si>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</si>
  <si>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</si>
  <si>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</si>
  <si>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</si>
  <si>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</si>
  <si>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</si>
  <si>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</si>
  <si>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</si>
  <si>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</si>
  <si>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</si>
  <si>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</si>
  <si>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</si>
  <si>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</si>
  <si>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</si>
  <si>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</si>
  <si>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</si>
  <si>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</si>
  <si>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</si>
  <si>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</si>
  <si>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</si>
  <si>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</si>
  <si>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</si>
  <si>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</si>
  <si>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</si>
  <si>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</si>
  <si>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</si>
  <si>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</si>
  <si>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</si>
  <si>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</si>
  <si>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</si>
  <si>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</si>
  <si>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</si>
  <si>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</si>
  <si>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</si>
  <si>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</si>
  <si>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</si>
  <si>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</si>
  <si>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</si>
  <si>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</si>
  <si>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</si>
  <si>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</si>
  <si>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</si>
  <si>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</si>
  <si>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</si>
  <si>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</si>
  <si>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</si>
  <si>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</si>
  <si>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</si>
  <si>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</si>
  <si>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</si>
  <si>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</si>
  <si>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</si>
  <si>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</si>
  <si>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</si>
  <si>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</si>
  <si>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</si>
  <si>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</si>
  <si>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</si>
  <si>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</si>
  <si>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</si>
  <si>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</si>
  <si>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</si>
  <si>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</si>
  <si>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</si>
  <si>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</si>
  <si>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</si>
  <si>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</si>
  <si>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</si>
  <si>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</si>
  <si>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</si>
  <si>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</si>
  <si>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</si>
  <si>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</si>
  <si>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</si>
  <si>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</si>
  <si>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</si>
  <si>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</si>
  <si>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</si>
  <si>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</si>
  <si>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</si>
  <si>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</si>
  <si>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</si>
  <si>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</si>
  <si>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</si>
  <si>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</si>
  <si>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</si>
  <si>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</si>
  <si>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</si>
  <si>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</si>
  <si>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</si>
  <si>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</si>
  <si>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</si>
  <si>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</si>
  <si>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</si>
  <si>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</si>
  <si>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</si>
  <si>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</si>
  <si>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</si>
  <si>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</si>
  <si>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</si>
  <si>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</si>
  <si>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</si>
  <si>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</si>
  <si>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</si>
  <si>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</si>
  <si>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</si>
  <si>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</si>
  <si>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</si>
  <si>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</si>
  <si>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</si>
  <si>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</si>
  <si>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</si>
  <si>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</si>
  <si>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</si>
  <si>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</si>
  <si>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</si>
  <si>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</si>
  <si>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</si>
  <si>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</si>
  <si>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</si>
  <si>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</si>
  <si>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</si>
  <si>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</si>
  <si>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</si>
  <si>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</si>
  <si>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</si>
  <si>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</si>
  <si>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</si>
  <si>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</si>
  <si>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</si>
  <si>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</si>
  <si>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</si>
  <si>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</si>
  <si>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</si>
  <si>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</si>
  <si>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</si>
  <si>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</si>
  <si>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</si>
  <si>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</si>
  <si>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</si>
  <si>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</si>
  <si>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</si>
  <si>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</si>
  <si>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</si>
  <si>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</si>
  <si>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</si>
  <si>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</si>
  <si>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</si>
  <si>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</si>
  <si>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</si>
  <si>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</si>
  <si>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</si>
  <si>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</si>
  <si>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</si>
  <si>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</si>
  <si>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</si>
  <si>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</si>
  <si>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</si>
  <si>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</si>
  <si>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</si>
  <si>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</si>
  <si>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</si>
  <si>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</si>
  <si>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</si>
  <si>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</si>
  <si>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</si>
  <si>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</si>
  <si>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</si>
  <si>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</si>
  <si>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</si>
  <si>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</si>
  <si>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</si>
  <si>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</si>
  <si>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</si>
  <si>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</si>
  <si>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</si>
  <si>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</si>
  <si>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</si>
  <si>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</si>
  <si>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</si>
  <si>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</si>
  <si>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</si>
  <si>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</si>
  <si>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</si>
  <si>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</si>
  <si>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</si>
  <si>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</si>
  <si>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</si>
  <si>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</si>
  <si>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</si>
  <si>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</si>
  <si>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</si>
  <si>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</si>
  <si>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</si>
  <si>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</si>
  <si>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</si>
  <si>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</si>
  <si>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</si>
  <si>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</si>
  <si>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</si>
  <si>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</si>
  <si>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</si>
  <si>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</si>
  <si>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</si>
  <si>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</si>
  <si>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</si>
  <si>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</si>
  <si>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</si>
  <si>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</si>
  <si>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</si>
  <si>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</si>
  <si>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</si>
  <si>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</si>
  <si>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</si>
  <si>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</si>
  <si>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</si>
  <si>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</si>
  <si>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</si>
  <si>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</si>
  <si>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</si>
  <si>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</si>
  <si>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</si>
  <si>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</si>
  <si>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</si>
  <si>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</si>
  <si>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</si>
  <si>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</si>
  <si>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</si>
  <si>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</si>
  <si>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</si>
  <si>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</si>
  <si>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</si>
  <si>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</si>
  <si>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</si>
  <si>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</si>
  <si>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</si>
  <si>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</si>
  <si>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</si>
  <si>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</si>
  <si>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</si>
  <si>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</si>
  <si>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</si>
  <si>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</si>
  <si>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</si>
  <si>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</si>
  <si>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</si>
  <si>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</si>
  <si>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</si>
  <si>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</si>
  <si>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</si>
  <si>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</si>
  <si>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</si>
  <si>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</si>
  <si>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</si>
  <si>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</si>
  <si>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</si>
  <si>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</si>
  <si>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</si>
  <si>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</si>
  <si>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</si>
  <si>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</si>
  <si>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</si>
  <si>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</si>
  <si>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</si>
  <si>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</si>
  <si>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</si>
  <si>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</si>
  <si>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</si>
  <si>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</si>
  <si>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</si>
  <si>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</si>
  <si>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</si>
  <si>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</si>
  <si>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</si>
  <si>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</si>
  <si>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</si>
  <si>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</si>
  <si>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</si>
  <si>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</si>
  <si>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</si>
  <si>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</si>
  <si>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</si>
  <si>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</si>
  <si>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</si>
  <si>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</si>
  <si>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</si>
  <si>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</si>
  <si>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</si>
  <si>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</si>
  <si>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</si>
  <si>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</si>
  <si>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</si>
  <si>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</si>
  <si>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</si>
  <si>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</si>
  <si>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</si>
  <si>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</si>
  <si>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</si>
  <si>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</si>
  <si>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</si>
  <si>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</si>
  <si>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</si>
  <si>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</si>
  <si>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</si>
  <si>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</si>
  <si>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</si>
  <si>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</si>
  <si>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</si>
  <si>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</si>
  <si>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</si>
  <si>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</si>
  <si>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</si>
  <si>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</si>
  <si>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</si>
  <si>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</si>
  <si>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</si>
  <si>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</si>
  <si>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</si>
  <si>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</si>
  <si>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</si>
  <si>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</si>
  <si>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</si>
  <si>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</si>
  <si>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</si>
  <si>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</si>
  <si>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</si>
  <si>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</si>
  <si>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</si>
  <si>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</si>
  <si>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</si>
  <si>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</si>
  <si>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</si>
  <si>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</si>
  <si>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</si>
  <si>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</si>
  <si>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</si>
  <si>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</si>
  <si>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</si>
  <si>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</si>
  <si>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</si>
  <si>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</si>
  <si>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</si>
  <si>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</si>
  <si>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</si>
  <si>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</si>
  <si>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</si>
  <si>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</si>
  <si>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</si>
  <si>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</si>
  <si>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</si>
  <si>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</si>
  <si>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</si>
  <si>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</si>
  <si>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</si>
  <si>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</si>
  <si>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</si>
  <si>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</si>
  <si>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</si>
  <si>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</si>
  <si>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</si>
  <si>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</si>
  <si>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</si>
  <si>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</si>
  <si>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</si>
  <si>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</si>
  <si>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</si>
  <si>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</si>
  <si>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</si>
  <si>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</si>
  <si>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</si>
  <si>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</si>
  <si>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</si>
  <si>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</si>
  <si>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</si>
  <si>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</si>
  <si>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</si>
  <si>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</si>
  <si>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</si>
  <si>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</si>
  <si>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</si>
  <si>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</si>
  <si>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</si>
  <si>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</si>
  <si>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</si>
  <si>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</si>
  <si>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</si>
  <si>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</si>
  <si>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</si>
  <si>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</si>
  <si>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</si>
  <si>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</si>
  <si>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</si>
  <si>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</si>
  <si>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</si>
  <si>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</si>
  <si>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</si>
  <si>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</si>
  <si>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</si>
  <si>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</si>
  <si>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</si>
  <si>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</si>
  <si>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</si>
  <si>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</si>
  <si>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</si>
  <si>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</si>
  <si>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</si>
  <si>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</si>
  <si>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</si>
  <si>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</si>
  <si>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</si>
  <si>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</si>
  <si>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</si>
  <si>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</si>
  <si>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</si>
  <si>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</si>
  <si>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</si>
  <si>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</si>
  <si>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</si>
  <si>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</si>
  <si>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</si>
  <si>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</si>
  <si>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</si>
  <si>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</si>
  <si>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</si>
  <si>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</si>
  <si>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</si>
  <si>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</si>
  <si>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</si>
  <si>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</si>
  <si>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</si>
  <si>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</si>
  <si>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</si>
  <si>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</si>
  <si>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</si>
  <si>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</si>
  <si>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</si>
  <si>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</si>
  <si>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</si>
  <si>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</si>
  <si>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</si>
  <si>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</si>
  <si>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</si>
  <si>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</si>
  <si>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</si>
  <si>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</si>
  <si>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</si>
  <si>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</si>
  <si>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</si>
  <si>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</si>
  <si>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</si>
  <si>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</si>
  <si>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</si>
  <si>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</si>
  <si>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</si>
  <si>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</si>
  <si>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</si>
  <si>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</si>
  <si>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</si>
  <si>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</si>
  <si>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</si>
  <si>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</si>
  <si>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</si>
  <si>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</si>
  <si>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</si>
  <si>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</si>
  <si>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</si>
  <si>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</si>
  <si>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</si>
  <si>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</si>
  <si>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</si>
  <si>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</si>
  <si>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</si>
  <si>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</si>
  <si>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</si>
  <si>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</si>
  <si>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</si>
  <si>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</si>
  <si>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</si>
  <si>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</si>
  <si>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</si>
  <si>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</si>
  <si>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</si>
  <si>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</si>
  <si>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</si>
  <si>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</si>
  <si>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</si>
  <si>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</si>
  <si>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</si>
  <si>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</si>
  <si>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</si>
  <si>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</si>
  <si>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</si>
  <si>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</si>
  <si>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</si>
  <si>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</si>
  <si>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</si>
  <si>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</si>
  <si>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</si>
  <si>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</si>
  <si>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</si>
  <si>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</si>
  <si>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</si>
  <si>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</si>
  <si>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</si>
  <si>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</si>
  <si>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</si>
  <si>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</si>
  <si>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</si>
  <si>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</si>
  <si>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</si>
  <si>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</si>
  <si>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</si>
  <si>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</si>
  <si>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</si>
  <si>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</si>
  <si>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</si>
  <si>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</si>
  <si>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</si>
  <si>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</si>
  <si>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</si>
  <si>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</si>
  <si>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</si>
  <si>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</si>
  <si>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</si>
  <si>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</si>
  <si>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</si>
  <si>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</si>
  <si>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</si>
  <si>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</si>
  <si>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</si>
  <si>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</si>
  <si>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</si>
  <si>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</si>
  <si>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</si>
  <si>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</si>
  <si>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</si>
  <si>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</si>
  <si>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</si>
  <si>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</si>
  <si>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</si>
  <si>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</si>
  <si>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</si>
  <si>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</si>
  <si>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</si>
  <si>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</si>
  <si>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</si>
  <si>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</si>
  <si>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</si>
  <si>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</si>
  <si>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</si>
  <si>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</si>
  <si>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</si>
  <si>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</si>
  <si>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</si>
  <si>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</si>
  <si>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</si>
  <si>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</si>
  <si>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</si>
  <si>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</si>
  <si>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</si>
  <si>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</si>
  <si>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</si>
  <si>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</si>
  <si>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</si>
  <si>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</si>
  <si>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</si>
  <si>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</si>
  <si>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</si>
  <si>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</si>
  <si>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</si>
  <si>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</si>
  <si>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</si>
  <si>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</si>
  <si>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</si>
  <si>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</si>
  <si>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</si>
  <si>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</si>
  <si>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</si>
  <si>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</si>
  <si>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</si>
  <si>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</si>
  <si>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</si>
  <si>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</si>
  <si>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</si>
  <si>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</si>
  <si>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</si>
  <si>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</si>
  <si>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</si>
  <si>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</si>
  <si>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</si>
  <si>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</si>
  <si>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</si>
  <si>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</si>
  <si>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</si>
  <si>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</si>
  <si>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</si>
  <si>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</si>
  <si>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</si>
  <si>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</si>
  <si>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</si>
  <si>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</si>
  <si>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</si>
  <si>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</si>
  <si>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</si>
  <si>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</si>
  <si>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</si>
  <si>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</si>
  <si>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</si>
  <si>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</si>
  <si>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</si>
  <si>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</si>
  <si>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</si>
  <si>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</si>
  <si>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</si>
  <si>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</si>
  <si>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</si>
  <si>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</si>
  <si>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</si>
  <si>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</si>
  <si>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</si>
  <si>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</si>
  <si>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</si>
  <si>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</si>
  <si>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</si>
  <si>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</si>
  <si>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</si>
  <si>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</si>
  <si>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</si>
  <si>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</si>
  <si>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</si>
  <si>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</si>
  <si>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</si>
  <si>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</si>
  <si>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</si>
  <si>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</si>
  <si>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</si>
  <si>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</si>
  <si>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</si>
  <si>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</si>
  <si>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</si>
  <si>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</si>
  <si>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</si>
  <si>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</si>
  <si>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</si>
  <si>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</si>
  <si>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</si>
  <si>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</si>
  <si>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</si>
  <si>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</si>
  <si>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</si>
  <si>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</si>
  <si>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</si>
  <si>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</si>
  <si>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</si>
  <si>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</si>
  <si>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</si>
  <si>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</si>
  <si>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</si>
  <si>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</si>
  <si>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</si>
  <si>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</si>
  <si>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</si>
  <si>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</si>
  <si>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</si>
  <si>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</si>
  <si>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</si>
  <si>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</si>
  <si>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</si>
  <si>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</si>
  <si>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</si>
  <si>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</si>
  <si>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</si>
  <si>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</si>
  <si>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</si>
  <si>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</si>
  <si>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</si>
  <si>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</si>
  <si>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</si>
  <si>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</si>
  <si>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</si>
  <si>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</si>
  <si>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</si>
  <si>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</si>
  <si>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</si>
  <si>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</si>
  <si>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</si>
  <si>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</si>
  <si>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</si>
  <si>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</si>
  <si>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</si>
  <si>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</si>
  <si>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</si>
  <si>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</si>
  <si>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</si>
  <si>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</si>
  <si>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</si>
  <si>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</si>
  <si>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</si>
  <si>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</si>
  <si>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</si>
  <si>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</si>
  <si>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</si>
  <si>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</si>
  <si>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</si>
  <si>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</si>
  <si>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</si>
  <si>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</si>
  <si>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</si>
  <si>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</si>
  <si>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</si>
  <si>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</si>
  <si>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</si>
  <si>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</si>
  <si>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</si>
  <si>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</si>
  <si>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</si>
  <si>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</si>
  <si>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</si>
  <si>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</si>
  <si>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</si>
  <si>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</si>
  <si>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</si>
  <si>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</si>
  <si>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</si>
  <si>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</si>
  <si>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</si>
  <si>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</si>
  <si>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</si>
  <si>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</si>
  <si>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</si>
  <si>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</si>
  <si>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</si>
  <si>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</si>
  <si>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</si>
  <si>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</si>
  <si>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</si>
  <si>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</si>
  <si>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</si>
  <si>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</si>
  <si>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</si>
  <si>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</si>
  <si>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</si>
  <si>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</si>
  <si>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</si>
  <si>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</si>
  <si>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</si>
  <si>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</si>
  <si>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</si>
  <si>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</si>
  <si>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</si>
  <si>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</si>
  <si>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</si>
  <si>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</si>
  <si>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</si>
  <si>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</si>
  <si>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</si>
  <si>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</si>
  <si>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</si>
  <si>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</si>
  <si>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</si>
  <si>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</si>
  <si>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</si>
  <si>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</si>
  <si>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</si>
  <si>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</si>
  <si>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</si>
  <si>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</si>
  <si>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</si>
  <si>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</si>
  <si>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</si>
  <si>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</si>
  <si>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</si>
  <si>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</si>
  <si>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</si>
  <si>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</si>
  <si>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</si>
  <si>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</si>
  <si>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</si>
  <si>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</si>
  <si>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</si>
  <si>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</si>
  <si>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</si>
  <si>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</si>
  <si>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</si>
  <si>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</si>
  <si>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</si>
  <si>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</si>
  <si>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</si>
  <si>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</si>
  <si>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</si>
  <si>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</si>
  <si>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</si>
  <si>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</si>
  <si>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</si>
  <si>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</si>
  <si>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</si>
  <si>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</si>
  <si>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</si>
  <si>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</si>
  <si>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</si>
  <si>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</si>
  <si>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</si>
  <si>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</si>
  <si>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</si>
  <si>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</si>
  <si>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</si>
  <si>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</si>
  <si>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</si>
  <si>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</si>
  <si>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</si>
  <si>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</si>
  <si>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</si>
  <si>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</si>
  <si>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</si>
  <si>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</si>
  <si>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</si>
  <si>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</si>
  <si>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</si>
  <si>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</si>
  <si>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</si>
  <si>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</si>
  <si>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</si>
  <si>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</si>
  <si>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</si>
  <si>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</si>
  <si>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</si>
  <si>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</si>
  <si>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</si>
  <si>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</si>
  <si>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</si>
  <si>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</si>
  <si>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</si>
  <si>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</si>
  <si>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</si>
  <si>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</si>
  <si>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</si>
  <si>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</si>
  <si>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</si>
  <si>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</si>
  <si>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</si>
  <si>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</si>
  <si>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</si>
  <si>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</si>
  <si>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</si>
  <si>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</si>
  <si>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</si>
  <si>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</si>
  <si>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</si>
  <si>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</si>
  <si>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</si>
  <si>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</si>
  <si>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</si>
  <si>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</si>
  <si>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</si>
  <si>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</si>
  <si>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</si>
  <si>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</si>
  <si>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</si>
  <si>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</si>
  <si>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</si>
  <si>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</si>
  <si>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</si>
  <si>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</si>
  <si>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</si>
  <si>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</si>
  <si>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</si>
  <si>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</si>
  <si>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</si>
  <si>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</si>
  <si>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</si>
  <si>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</si>
  <si>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</si>
  <si>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</si>
  <si>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</si>
  <si>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</si>
  <si>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</si>
  <si>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</si>
  <si>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</si>
  <si>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</si>
  <si>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</si>
  <si>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</si>
  <si>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</si>
  <si>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</si>
  <si>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</si>
  <si>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</si>
  <si>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</si>
  <si>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</si>
  <si>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</si>
  <si>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</si>
  <si>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</si>
  <si>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</si>
  <si>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</si>
  <si>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</si>
  <si>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</si>
  <si>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</si>
  <si>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</si>
  <si>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</si>
  <si>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</si>
  <si>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</si>
  <si>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</si>
  <si>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</si>
  <si>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</si>
  <si>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</si>
  <si>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</si>
  <si>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</si>
  <si>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</si>
  <si>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</si>
  <si>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</si>
  <si>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</si>
  <si>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</si>
  <si>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</si>
  <si>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</si>
  <si>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</si>
  <si>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</si>
  <si>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</si>
  <si>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</si>
  <si>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</si>
  <si>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</si>
  <si>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</si>
  <si>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</si>
  <si>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</si>
  <si>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</si>
  <si>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</si>
  <si>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</si>
  <si>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</si>
  <si>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</si>
  <si>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</si>
  <si>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</si>
  <si>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</si>
  <si>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</si>
  <si>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</si>
  <si>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</si>
  <si>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</si>
  <si>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</si>
  <si>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</si>
  <si>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</si>
  <si>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</si>
  <si>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</si>
  <si>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</si>
  <si>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</si>
  <si>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</si>
  <si>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</si>
  <si>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</si>
  <si>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</si>
  <si>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</si>
  <si>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</si>
  <si>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</si>
  <si>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</si>
  <si>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</si>
  <si>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</si>
  <si>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</si>
  <si>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</si>
  <si>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</si>
  <si>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</si>
  <si>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</si>
  <si>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</si>
  <si>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</si>
  <si>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</si>
  <si>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</si>
  <si>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</si>
  <si>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</si>
  <si>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</si>
  <si>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</si>
  <si>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</si>
  <si>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</si>
  <si>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</si>
  <si>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</si>
  <si>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</si>
  <si>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</si>
  <si>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</si>
  <si>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</si>
  <si>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</si>
  <si>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</si>
  <si>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</si>
  <si>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</si>
  <si>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</si>
  <si>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</si>
  <si>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</si>
  <si>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</si>
  <si>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</si>
  <si>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</si>
  <si>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</si>
  <si>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</si>
  <si>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</si>
  <si>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</si>
  <si>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</si>
  <si>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</si>
  <si>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</si>
  <si>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</si>
  <si>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</si>
  <si>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</si>
  <si>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</si>
  <si>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</si>
  <si>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</si>
  <si>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</si>
  <si>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</si>
  <si>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</si>
  <si>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</si>
  <si>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</si>
  <si>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</si>
  <si>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</si>
  <si>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</si>
  <si>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</si>
  <si>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</si>
  <si>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</si>
  <si>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</si>
  <si>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</si>
  <si>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</si>
  <si>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</si>
  <si>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</si>
  <si>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</si>
  <si>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</si>
  <si>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</si>
  <si>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</si>
  <si>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</si>
  <si>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</si>
  <si>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</si>
  <si>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</si>
  <si>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</si>
  <si>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</si>
  <si>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</si>
  <si>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</si>
  <si>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</si>
  <si>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</si>
  <si>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</si>
  <si>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</si>
  <si>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</si>
  <si>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</si>
  <si>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</si>
  <si>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</si>
  <si>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</si>
  <si>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</si>
  <si>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</si>
  <si>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</si>
  <si>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</si>
  <si>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</si>
  <si>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</si>
  <si>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</si>
  <si>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</si>
  <si>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</si>
  <si>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</si>
  <si>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</si>
  <si>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</si>
  <si>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</si>
  <si>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</si>
  <si>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</si>
  <si>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</si>
  <si>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</si>
  <si>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</si>
  <si>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</si>
  <si>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</si>
  <si>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</si>
  <si>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</si>
  <si>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</si>
  <si>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</si>
  <si>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</si>
  <si>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</si>
  <si>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</si>
  <si>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</si>
  <si>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</si>
  <si>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</si>
  <si>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</si>
  <si>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</si>
  <si>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</si>
  <si>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</si>
  <si>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</si>
  <si>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</si>
  <si>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</si>
  <si>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</si>
  <si>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</si>
  <si>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</si>
  <si>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</si>
  <si>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</si>
  <si>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</si>
  <si>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</si>
  <si>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</si>
  <si>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</si>
  <si>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</si>
  <si>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</si>
  <si>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</si>
  <si>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</si>
  <si>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</si>
  <si>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</si>
  <si>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</si>
  <si>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</si>
  <si>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</si>
  <si>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</si>
  <si>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</si>
  <si>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</si>
  <si>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</si>
  <si>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</si>
  <si>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</si>
  <si>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</si>
  <si>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</si>
  <si>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</si>
  <si>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</si>
  <si>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</si>
  <si>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</si>
  <si>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</si>
  <si>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</si>
  <si>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</si>
  <si>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</si>
  <si>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</si>
  <si>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</si>
  <si>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</si>
  <si>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</si>
  <si>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</si>
  <si>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</si>
  <si>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</si>
  <si>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</si>
  <si>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</si>
  <si>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</si>
  <si>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</si>
  <si>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</si>
  <si>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</si>
  <si>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</si>
  <si>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</si>
  <si>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</si>
  <si>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</si>
  <si>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</si>
  <si>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</si>
  <si>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</si>
  <si>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</si>
  <si>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</si>
  <si>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</si>
  <si>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</si>
  <si>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</si>
  <si>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</si>
  <si>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</si>
  <si>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</si>
  <si>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</si>
  <si>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</si>
  <si>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</si>
  <si>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</si>
  <si>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</si>
  <si>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</si>
  <si>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</si>
  <si>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</si>
  <si>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</si>
  <si>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</si>
  <si>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</si>
  <si>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</si>
  <si>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</si>
  <si>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</si>
  <si>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</si>
  <si>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</si>
  <si>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</si>
  <si>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</si>
  <si>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</si>
  <si>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</si>
  <si>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</si>
  <si>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</si>
  <si>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</si>
  <si>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</si>
  <si>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</si>
  <si>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</si>
  <si>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</si>
  <si>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</si>
  <si>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</si>
  <si>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</si>
  <si>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</si>
  <si>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</si>
  <si>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</si>
  <si>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</si>
  <si>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</si>
  <si>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</si>
  <si>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</si>
  <si>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</si>
  <si>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</si>
  <si>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</si>
  <si>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</si>
  <si>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</si>
  <si>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</si>
  <si>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</si>
  <si>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</si>
  <si>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</si>
  <si>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</si>
  <si>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</si>
  <si>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</si>
  <si>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</si>
  <si>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</si>
  <si>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</si>
  <si>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</si>
  <si>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</si>
  <si>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</si>
  <si>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</si>
  <si>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</si>
  <si>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</si>
  <si>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</si>
  <si>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</si>
  <si>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</si>
  <si>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</si>
  <si>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</si>
  <si>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</si>
  <si>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</si>
  <si>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</si>
  <si>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</si>
  <si>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</si>
  <si>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</si>
  <si>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</si>
  <si>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</si>
  <si>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</si>
  <si>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</si>
  <si>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</si>
  <si>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</si>
  <si>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</si>
  <si>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</si>
  <si>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</si>
  <si>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</si>
  <si>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</si>
  <si>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</si>
  <si>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</si>
  <si>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</si>
  <si>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</si>
  <si>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</si>
  <si>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</si>
  <si>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</si>
  <si>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</si>
  <si>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</si>
  <si>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</si>
  <si>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</si>
  <si>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</si>
  <si>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</si>
  <si>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</si>
  <si>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</si>
  <si>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</si>
  <si>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</si>
  <si>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</si>
  <si>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</si>
  <si>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</si>
  <si>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</si>
  <si>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</si>
  <si>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</si>
  <si>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</si>
  <si>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</si>
  <si>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</si>
  <si>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</si>
  <si>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</si>
  <si>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</si>
  <si>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</si>
  <si>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</si>
  <si>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</si>
  <si>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</si>
  <si>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</si>
  <si>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</si>
  <si>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</si>
  <si>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</si>
  <si>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</si>
  <si>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</si>
  <si>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</si>
  <si>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</si>
  <si>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</si>
  <si>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</si>
  <si>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</si>
  <si>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</si>
  <si>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</si>
  <si>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</si>
  <si>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</si>
  <si>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</si>
  <si>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</si>
  <si>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</si>
  <si>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</si>
  <si>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</si>
  <si>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</si>
  <si>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</si>
  <si>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</si>
  <si>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</si>
  <si>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</si>
  <si>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</si>
  <si>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</si>
  <si>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</si>
  <si>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</si>
  <si>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</si>
  <si>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</si>
  <si>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</si>
  <si>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</si>
  <si>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</si>
  <si>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</si>
  <si>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</si>
  <si>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</si>
  <si>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</si>
  <si>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</si>
  <si>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</si>
  <si>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</si>
  <si>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</si>
  <si>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</si>
  <si>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</si>
  <si>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</si>
  <si>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</si>
  <si>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</si>
  <si>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</si>
  <si>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</si>
  <si>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</si>
  <si>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</si>
  <si>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</si>
  <si>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</si>
  <si>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</si>
  <si>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</si>
  <si>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</si>
  <si>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</si>
  <si>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</si>
  <si>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</si>
  <si>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</si>
  <si>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</si>
  <si>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</si>
  <si>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</si>
  <si>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</si>
  <si>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</si>
  <si>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</si>
  <si>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</si>
  <si>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</si>
  <si>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</si>
  <si>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</si>
  <si>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</si>
  <si>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</si>
  <si>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</si>
  <si>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</si>
  <si>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</si>
  <si>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</si>
  <si>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</si>
  <si>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</si>
  <si>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</si>
  <si>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</si>
  <si>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</si>
  <si>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</si>
  <si>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</si>
  <si>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</si>
  <si>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</si>
  <si>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</si>
  <si>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</si>
  <si>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</si>
  <si>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</si>
  <si>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</si>
  <si>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</si>
  <si>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</si>
  <si>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</si>
  <si>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</si>
  <si>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</si>
  <si>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</si>
  <si>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</si>
  <si>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</si>
  <si>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</si>
  <si>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</si>
  <si>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</si>
  <si>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</si>
  <si>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</si>
  <si>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</si>
  <si>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</si>
  <si>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</si>
  <si>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</si>
  <si>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</si>
  <si>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</si>
  <si>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</si>
  <si>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</si>
  <si>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</si>
  <si>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</si>
  <si>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</si>
  <si>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</si>
  <si>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</si>
  <si>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</si>
  <si>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</si>
  <si>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</si>
  <si>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</si>
  <si>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</si>
  <si>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</si>
  <si>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</si>
  <si>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</si>
  <si>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</si>
  <si>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</si>
  <si>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</si>
  <si>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</si>
  <si>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</si>
  <si>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</si>
  <si>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</si>
  <si>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</si>
  <si>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</si>
  <si>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</si>
  <si>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</si>
  <si>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</si>
  <si>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</si>
  <si>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</si>
  <si>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</si>
  <si>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</si>
  <si>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</si>
  <si>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</si>
  <si>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</si>
  <si>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</si>
  <si>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</si>
  <si>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</si>
  <si>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</si>
  <si>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</si>
  <si>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</si>
  <si>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</si>
  <si>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</si>
  <si>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</si>
  <si>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</si>
  <si>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</si>
  <si>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</si>
  <si>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</si>
  <si>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</si>
  <si>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</si>
  <si>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</si>
  <si>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</si>
  <si>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</si>
  <si>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</si>
  <si>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</si>
  <si>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</si>
  <si>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</si>
  <si>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</si>
  <si>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</si>
  <si>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</si>
  <si>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</si>
  <si>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</si>
  <si>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</si>
  <si>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</si>
  <si>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</si>
  <si>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</si>
  <si>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</si>
  <si>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</si>
  <si>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</si>
  <si>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</si>
  <si>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</si>
  <si>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</si>
  <si>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</si>
  <si>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</si>
  <si>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</si>
  <si>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</si>
  <si>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</si>
  <si>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</si>
  <si>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</si>
  <si>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</si>
  <si>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</si>
  <si>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</si>
  <si>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</si>
  <si>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</si>
  <si>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</si>
  <si>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</si>
  <si>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</si>
  <si>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</si>
  <si>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</si>
  <si>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</si>
  <si>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</si>
  <si>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</si>
  <si>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</si>
  <si>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</si>
  <si>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</si>
  <si>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</si>
  <si>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</si>
  <si>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</si>
  <si>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</si>
  <si>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</si>
  <si>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</si>
  <si>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</si>
  <si>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</si>
  <si>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</si>
  <si>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</si>
  <si>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</si>
  <si>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</si>
  <si>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</si>
  <si>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</si>
  <si>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</si>
  <si>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</si>
  <si>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</si>
  <si>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</si>
  <si>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</si>
  <si>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</si>
  <si>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</si>
  <si>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</si>
  <si>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</si>
  <si>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</si>
  <si>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</si>
  <si>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</si>
  <si>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</si>
  <si>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</si>
  <si>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</si>
  <si>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</si>
  <si>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</si>
  <si>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</si>
  <si>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</si>
  <si>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</si>
  <si>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</si>
  <si>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</si>
  <si>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</si>
  <si>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</si>
  <si>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</si>
  <si>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</si>
  <si>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</si>
  <si>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</si>
  <si>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</si>
  <si>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</si>
  <si>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</si>
  <si>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</si>
  <si>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</si>
  <si>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</si>
  <si>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</si>
  <si>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</si>
  <si>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</si>
  <si>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</si>
  <si>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</si>
  <si>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</si>
  <si>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</si>
  <si>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</si>
  <si>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</si>
  <si>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</si>
  <si>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</si>
  <si>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</si>
  <si>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</si>
  <si>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</si>
  <si>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</si>
  <si>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</si>
  <si>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</si>
  <si>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</si>
  <si>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</si>
  <si>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</si>
  <si>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</si>
  <si>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</si>
  <si>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</si>
  <si>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</si>
  <si>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</si>
  <si>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</si>
  <si>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</si>
  <si>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</si>
  <si>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</si>
  <si>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</si>
  <si>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</si>
  <si>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</si>
  <si>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</si>
  <si>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</si>
  <si>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</si>
  <si>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</si>
  <si>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</si>
  <si>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</si>
  <si>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</si>
  <si>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</si>
  <si>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</si>
  <si>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</si>
  <si>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</si>
  <si>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</si>
  <si>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</si>
  <si>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</si>
  <si>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</si>
  <si>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</si>
  <si>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</si>
  <si>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</si>
  <si>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</si>
  <si>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</si>
  <si>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</si>
  <si>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</si>
  <si>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</si>
  <si>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</si>
  <si>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</si>
  <si>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</si>
  <si>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</si>
  <si>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</si>
  <si>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</si>
  <si>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</si>
  <si>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</si>
  <si>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</si>
  <si>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</si>
  <si>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</si>
  <si>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</si>
  <si>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</si>
  <si>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</si>
  <si>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</si>
  <si>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</si>
  <si>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</si>
  <si>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</si>
  <si>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</si>
  <si>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</si>
  <si>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</si>
  <si>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</si>
  <si>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</si>
  <si>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</si>
  <si>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</si>
  <si>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</si>
  <si>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</si>
  <si>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</si>
  <si>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</si>
  <si>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</si>
  <si>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</si>
  <si>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</si>
  <si>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</si>
  <si>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</si>
  <si>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</si>
  <si>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</si>
  <si>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</si>
  <si>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</si>
  <si>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</si>
  <si>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</si>
  <si>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</si>
  <si>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</si>
  <si>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</si>
  <si>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</si>
  <si>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</si>
  <si>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</si>
  <si>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</si>
  <si>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</si>
  <si>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</si>
  <si>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</si>
  <si>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</si>
  <si>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</si>
  <si>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</si>
  <si>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</si>
  <si>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</si>
  <si>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</si>
  <si>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</si>
  <si>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</si>
  <si>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</si>
  <si>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</si>
  <si>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</si>
  <si>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</si>
  <si>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</si>
  <si>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</si>
  <si>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</si>
  <si>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</si>
  <si>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</si>
  <si>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</si>
  <si>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</si>
  <si>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</si>
  <si>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</si>
  <si>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</si>
  <si>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</si>
  <si>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</si>
  <si>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</si>
  <si>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</si>
  <si>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</si>
  <si>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</si>
  <si>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</si>
  <si>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</si>
  <si>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</si>
  <si>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</si>
  <si>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</si>
  <si>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</si>
  <si>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</si>
  <si>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</si>
  <si>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</si>
  <si>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</si>
  <si>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</si>
  <si>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</si>
  <si>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</si>
  <si>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</si>
  <si>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</si>
  <si>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</si>
  <si>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</si>
  <si>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</si>
  <si>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</si>
  <si>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</si>
  <si>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</si>
  <si>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</si>
  <si>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</si>
  <si>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</si>
  <si>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</si>
  <si>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</si>
  <si>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</si>
  <si>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</si>
  <si>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</si>
  <si>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</si>
  <si>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</si>
  <si>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</si>
  <si>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</si>
  <si>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</si>
  <si>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</si>
  <si>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</si>
  <si>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</si>
  <si>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</si>
  <si>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</si>
  <si>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</si>
  <si>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</si>
  <si>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</si>
  <si>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</si>
  <si>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</si>
  <si>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</si>
  <si>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</si>
  <si>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</si>
  <si>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</si>
  <si>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</si>
  <si>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</si>
  <si>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</si>
  <si>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</si>
  <si>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</si>
  <si>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</si>
  <si>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</si>
  <si>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</si>
  <si>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</si>
  <si>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</si>
  <si>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</si>
  <si>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</si>
  <si>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</si>
  <si>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</si>
  <si>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</si>
  <si>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</si>
  <si>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</si>
  <si>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</si>
  <si>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</si>
  <si>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</si>
  <si>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</si>
  <si>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</si>
  <si>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</si>
  <si>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</si>
  <si>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</si>
  <si>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</si>
  <si>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</si>
  <si>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</si>
  <si>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</si>
  <si>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</si>
  <si>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</si>
  <si>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</si>
  <si>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</si>
  <si>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</si>
  <si>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</si>
  <si>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</si>
  <si>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</si>
  <si>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</si>
  <si>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</si>
  <si>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</si>
  <si>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</si>
  <si>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</si>
  <si>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</si>
  <si>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</si>
  <si>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</si>
  <si>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</si>
  <si>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</si>
  <si>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</si>
  <si>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</si>
  <si>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</si>
  <si>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</si>
  <si>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</si>
  <si>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</si>
  <si>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</si>
  <si>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</si>
  <si>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</si>
  <si>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</si>
  <si>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</si>
  <si>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</si>
  <si>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</si>
  <si>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</si>
  <si>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</si>
  <si>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</si>
  <si>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</si>
  <si>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</si>
  <si>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</si>
  <si>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</si>
  <si>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</si>
  <si>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</si>
  <si>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</si>
  <si>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</si>
  <si>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</si>
  <si>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</si>
  <si>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</si>
  <si>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</si>
  <si>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</si>
  <si>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</si>
  <si>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</si>
  <si>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</si>
  <si>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</si>
  <si>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</si>
  <si>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</si>
  <si>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</si>
  <si>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</si>
  <si>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</si>
  <si>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</si>
  <si>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</si>
  <si>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</si>
  <si>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</si>
  <si>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</si>
  <si>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</si>
  <si>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</si>
  <si>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</si>
  <si>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</si>
  <si>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</si>
  <si>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</si>
  <si>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</si>
  <si>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</si>
  <si>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</si>
  <si>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</si>
  <si>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</si>
  <si>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</si>
  <si>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</si>
  <si>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</si>
  <si>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</si>
  <si>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</si>
  <si>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</si>
  <si>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</si>
  <si>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</si>
  <si>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</si>
  <si>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</si>
  <si>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</si>
  <si>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</si>
  <si>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</si>
  <si>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</si>
  <si>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</si>
  <si>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</si>
  <si>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</si>
  <si>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</si>
  <si>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</si>
  <si>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</si>
  <si>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</si>
  <si>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</si>
  <si>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</si>
  <si>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</si>
  <si>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</si>
  <si>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</si>
  <si>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</si>
  <si>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</si>
  <si>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</si>
  <si>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</si>
  <si>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</si>
  <si>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</si>
  <si>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</si>
  <si>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</si>
  <si>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</si>
  <si>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</si>
  <si>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</si>
  <si>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</si>
  <si>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</si>
  <si>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</si>
  <si>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</si>
  <si>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</si>
  <si>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</si>
  <si>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</si>
  <si>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</si>
  <si>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</si>
  <si>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</si>
  <si>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</si>
  <si>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</si>
  <si>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</si>
  <si>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</si>
  <si>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</si>
  <si>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</si>
  <si>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</si>
  <si>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</si>
  <si>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</si>
  <si>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</si>
  <si>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</si>
  <si>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</si>
  <si>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</si>
  <si>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</si>
  <si>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</si>
  <si>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</si>
  <si>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</si>
  <si>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</si>
  <si>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</si>
  <si>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</si>
  <si>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</si>
  <si>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</si>
  <si>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</si>
  <si>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</si>
  <si>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</si>
  <si>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</si>
  <si>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</si>
  <si>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</si>
  <si>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</si>
  <si>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</si>
  <si>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</si>
  <si>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</si>
  <si>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</si>
  <si>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</si>
  <si>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</si>
  <si>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</si>
  <si>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</si>
  <si>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</si>
  <si>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</si>
  <si>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</si>
  <si>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</si>
  <si>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</si>
  <si>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</si>
  <si>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</si>
  <si>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</si>
  <si>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</si>
  <si>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</si>
  <si>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</si>
  <si>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</si>
  <si>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</si>
  <si>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</si>
  <si>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</si>
  <si>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</si>
  <si>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</si>
  <si>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</si>
  <si>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</si>
  <si>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</si>
  <si>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</si>
  <si>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</si>
  <si>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</si>
  <si>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</si>
  <si>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</si>
  <si>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</si>
  <si>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</si>
  <si>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</si>
  <si>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</si>
  <si>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</si>
  <si>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</si>
  <si>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</si>
  <si>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</si>
  <si>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</si>
  <si>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</si>
  <si>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</si>
  <si>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</si>
  <si>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</si>
  <si>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</si>
  <si>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</si>
  <si>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</si>
  <si>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</si>
  <si>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</si>
  <si>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</si>
  <si>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</si>
  <si>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</si>
  <si>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</si>
  <si>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</si>
  <si>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</si>
  <si>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</si>
  <si>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</si>
  <si>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</si>
  <si>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</si>
  <si>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</si>
  <si>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</si>
  <si>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</si>
  <si>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</si>
  <si>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</si>
  <si>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</si>
  <si>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</si>
  <si>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</si>
  <si>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</si>
  <si>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</si>
  <si>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</si>
  <si>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</si>
  <si>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</si>
  <si>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</si>
  <si>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</si>
  <si>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</si>
  <si>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</si>
  <si>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</si>
  <si>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</si>
  <si>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</si>
  <si>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</si>
  <si>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</si>
  <si>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</si>
  <si>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</si>
  <si>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</si>
  <si>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</si>
  <si>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</si>
  <si>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</si>
  <si>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</si>
  <si>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</si>
  <si>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</si>
  <si>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</si>
  <si>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</si>
  <si>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</si>
  <si>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</si>
  <si>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</si>
  <si>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</si>
  <si>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</si>
  <si>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</si>
  <si>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</si>
  <si>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</si>
  <si>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</si>
  <si>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</si>
  <si>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</si>
  <si>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</si>
  <si>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</si>
  <si>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</si>
  <si>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</si>
  <si>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</si>
  <si>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</si>
  <si>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</si>
  <si>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</si>
  <si>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</si>
  <si>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</si>
  <si>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</si>
  <si>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</si>
  <si>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</si>
  <si>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</si>
  <si>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</si>
  <si>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</si>
  <si>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</si>
  <si>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</si>
  <si>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</si>
  <si>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</si>
  <si>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</si>
  <si>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</si>
  <si>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</si>
  <si>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</si>
  <si>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</si>
  <si>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</si>
  <si>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</si>
  <si>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</si>
  <si>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</si>
  <si>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</si>
  <si>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</si>
  <si>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</si>
  <si>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</si>
  <si>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</si>
  <si>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</si>
  <si>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</si>
  <si>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</si>
  <si>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</si>
  <si>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</si>
  <si>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</si>
  <si>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</si>
  <si>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</si>
  <si>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</si>
  <si>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</si>
  <si>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</si>
  <si>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</si>
  <si>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</si>
  <si>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</si>
  <si>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</si>
  <si>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</si>
  <si>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</si>
  <si>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</si>
  <si>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</si>
  <si>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</si>
  <si>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</si>
  <si>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</si>
  <si>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</si>
  <si>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</si>
  <si>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</si>
  <si>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</si>
  <si>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</si>
  <si>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</si>
  <si>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</si>
  <si>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</si>
  <si>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</si>
  <si>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</si>
  <si>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</si>
  <si>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</si>
  <si>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</si>
  <si>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</si>
  <si>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</si>
  <si>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</si>
  <si>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</si>
  <si>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</si>
  <si>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</si>
  <si>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</si>
  <si>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</si>
  <si>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</si>
  <si>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</si>
  <si>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</si>
  <si>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</si>
  <si>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</si>
  <si>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</si>
  <si>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</si>
  <si>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</si>
  <si>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</si>
  <si>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</si>
  <si>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</si>
  <si>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</si>
  <si>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</si>
  <si>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</si>
  <si>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</si>
  <si>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</si>
  <si>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</si>
  <si>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</si>
  <si>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</si>
  <si>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</si>
  <si>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</si>
  <si>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</si>
  <si>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</si>
  <si>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</si>
  <si>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</si>
  <si>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</si>
  <si>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</si>
  <si>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</si>
  <si>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</si>
  <si>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</si>
  <si>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</si>
  <si>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</si>
  <si>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</si>
  <si>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</si>
  <si>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</si>
  <si>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</si>
  <si>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</si>
  <si>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</si>
  <si>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</si>
  <si>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</si>
  <si>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</si>
  <si>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</si>
  <si>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</si>
  <si>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</si>
  <si>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</si>
  <si>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</si>
  <si>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</si>
  <si>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</si>
  <si>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</si>
  <si>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</si>
  <si>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</si>
  <si>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</si>
  <si>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</si>
  <si>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</si>
  <si>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</si>
  <si>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</si>
  <si>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</si>
  <si>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</si>
  <si>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</si>
  <si>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</si>
  <si>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</si>
  <si>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</si>
  <si>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</si>
  <si>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</si>
  <si>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</si>
  <si>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</si>
  <si>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</si>
  <si>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</si>
  <si>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</si>
  <si>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</si>
  <si>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</si>
  <si>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</si>
  <si>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</si>
  <si>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</si>
  <si>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</si>
  <si>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</si>
  <si>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</si>
  <si>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</si>
  <si>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</si>
  <si>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</si>
  <si>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</si>
  <si>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</si>
  <si>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</si>
  <si>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</si>
  <si>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</si>
  <si>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</si>
  <si>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</si>
  <si>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</si>
  <si>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</si>
  <si>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</si>
  <si>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</si>
  <si>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</si>
  <si>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</si>
  <si>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</si>
  <si>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</si>
  <si>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</si>
  <si>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</si>
  <si>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</si>
  <si>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</si>
  <si>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</si>
  <si>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</si>
  <si>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</si>
  <si>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</si>
  <si>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</si>
  <si>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</si>
  <si>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</si>
  <si>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</si>
  <si>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</si>
  <si>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</si>
  <si>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</si>
  <si>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</si>
  <si>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</si>
  <si>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</si>
  <si>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</si>
  <si>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</si>
  <si>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</si>
  <si>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</si>
  <si>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</si>
  <si>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</si>
  <si>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</si>
  <si>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</si>
  <si>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</si>
  <si>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</si>
  <si>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</si>
  <si>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</si>
  <si>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</si>
  <si>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</si>
  <si>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</si>
  <si>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</si>
  <si>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</si>
  <si>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</si>
  <si>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</si>
  <si>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</si>
  <si>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</si>
  <si>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</si>
  <si>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</si>
  <si>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</si>
  <si>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</si>
  <si>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</si>
  <si>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</si>
  <si>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</si>
  <si>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</si>
  <si>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</si>
  <si>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</si>
  <si>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</si>
  <si>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</si>
  <si>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</si>
  <si>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</si>
  <si>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</si>
  <si>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</si>
  <si>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</si>
  <si>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</si>
  <si>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</si>
  <si>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</si>
  <si>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</si>
  <si>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</si>
  <si>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</si>
  <si>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</si>
  <si>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</si>
  <si>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</si>
  <si>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</si>
  <si>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</si>
  <si>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</si>
  <si>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</si>
  <si>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</si>
  <si>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</si>
  <si>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</si>
  <si>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</si>
  <si>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</si>
  <si>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</si>
  <si>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</si>
  <si>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</si>
  <si>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</si>
  <si>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</si>
  <si>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</si>
  <si>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</si>
  <si>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</si>
  <si>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</si>
  <si>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</si>
  <si>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</si>
  <si>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</si>
  <si>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</si>
  <si>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</si>
  <si>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</si>
  <si>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</si>
  <si>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</si>
  <si>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</si>
  <si>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</si>
  <si>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</si>
  <si>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</si>
  <si>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</si>
  <si>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</si>
  <si>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</si>
  <si>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</si>
  <si>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</si>
  <si>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</si>
  <si>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</si>
  <si>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</si>
  <si>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</si>
  <si>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</si>
  <si>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</si>
  <si>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</si>
  <si>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</si>
  <si>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</si>
  <si>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</si>
  <si>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</si>
  <si>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</si>
  <si>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</si>
  <si>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</si>
  <si>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</si>
  <si>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</si>
  <si>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</si>
  <si>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</si>
  <si>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</si>
  <si>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</si>
  <si>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</si>
  <si>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</si>
  <si>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</si>
  <si>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</si>
  <si>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</si>
  <si>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</si>
  <si>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</si>
  <si>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</si>
  <si>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</si>
  <si>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</si>
  <si>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</si>
  <si>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</si>
  <si>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</si>
  <si>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</si>
  <si>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</si>
  <si>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</si>
  <si>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</si>
  <si>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</si>
  <si>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</si>
  <si>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</si>
  <si>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</si>
  <si>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</si>
  <si>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</si>
  <si>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</si>
  <si>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</si>
  <si>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</si>
  <si>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</si>
  <si>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</si>
  <si>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</si>
  <si>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</si>
  <si>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</si>
  <si>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</si>
  <si>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</si>
  <si>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</si>
  <si>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</si>
  <si>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</si>
  <si>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</si>
  <si>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</si>
  <si>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</si>
  <si>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</si>
  <si>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</si>
  <si>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</si>
  <si>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</si>
  <si>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</si>
  <si>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</si>
  <si>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</si>
  <si>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</si>
  <si>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</si>
  <si>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</si>
  <si>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</si>
  <si>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</si>
  <si>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</si>
  <si>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</si>
  <si>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</si>
  <si>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</si>
  <si>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</si>
  <si>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</si>
  <si>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</si>
  <si>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</si>
  <si>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</si>
  <si>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</si>
  <si>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</si>
  <si>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</si>
  <si>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</si>
  <si>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</si>
  <si>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</si>
  <si>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</si>
  <si>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</si>
  <si>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</si>
  <si>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</si>
  <si>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</si>
  <si>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</si>
  <si>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</si>
  <si>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</si>
  <si>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</si>
  <si>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</si>
  <si>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</si>
  <si>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</si>
  <si>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</si>
  <si>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</si>
  <si>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</si>
  <si>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</si>
  <si>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</si>
  <si>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</si>
  <si>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</si>
  <si>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</si>
  <si>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</si>
  <si>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</si>
  <si>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</si>
  <si>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</si>
  <si>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</si>
  <si>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</si>
  <si>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</si>
  <si>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</si>
  <si>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</si>
  <si>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</si>
  <si>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</si>
  <si>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</si>
  <si>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</si>
  <si>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</si>
  <si>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</si>
  <si>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</si>
  <si>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</si>
  <si>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</si>
  <si>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</si>
  <si>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</si>
  <si>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</si>
  <si>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</si>
  <si>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</si>
  <si>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</si>
  <si>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</si>
  <si>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</si>
  <si>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</si>
  <si>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</si>
  <si>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</si>
  <si>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</si>
  <si>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</si>
  <si>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</si>
  <si>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</si>
  <si>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</si>
  <si>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</si>
  <si>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</si>
  <si>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</si>
  <si>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</si>
  <si>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</si>
  <si>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</si>
  <si>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</si>
  <si>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</si>
  <si>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</si>
  <si>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</si>
  <si>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</si>
  <si>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</si>
  <si>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</si>
  <si>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</si>
  <si>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</si>
  <si>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</si>
  <si>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</si>
  <si>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</si>
  <si>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</si>
  <si>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</si>
  <si>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</si>
  <si>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</si>
  <si>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</si>
  <si>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</si>
  <si>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</si>
  <si>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</si>
  <si>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</si>
  <si>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</si>
  <si>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</si>
  <si>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</si>
  <si>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</si>
  <si>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</si>
  <si>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</si>
  <si>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</si>
  <si>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</si>
  <si>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</si>
  <si>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</si>
  <si>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</si>
  <si>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</si>
  <si>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</si>
  <si>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</si>
  <si>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</si>
  <si>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</si>
  <si>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</si>
  <si>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</si>
  <si>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</si>
  <si>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</si>
  <si>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</si>
  <si>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</si>
  <si>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</si>
  <si>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</si>
  <si>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</si>
  <si>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</si>
  <si>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</si>
  <si>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</si>
  <si>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</si>
  <si>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</si>
  <si>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</si>
  <si>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</si>
  <si>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</si>
  <si>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</si>
  <si>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</si>
  <si>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</si>
  <si>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</si>
  <si>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</si>
  <si>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</si>
  <si>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</si>
  <si>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</si>
  <si>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</si>
  <si>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</si>
  <si>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</si>
  <si>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</si>
  <si>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</si>
  <si>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</si>
  <si>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</si>
  <si>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</si>
  <si>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</si>
  <si>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</si>
  <si>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</si>
  <si>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</si>
  <si>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</si>
  <si>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</si>
  <si>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</si>
  <si>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</si>
  <si>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</si>
  <si>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</si>
  <si>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</si>
  <si>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</si>
  <si>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</si>
  <si>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</si>
  <si>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</si>
  <si>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</si>
  <si>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</si>
  <si>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</si>
  <si>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</si>
  <si>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</si>
  <si>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</si>
  <si>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</si>
  <si>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</si>
  <si>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</si>
  <si>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</si>
  <si>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</si>
  <si>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</si>
  <si>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</si>
  <si>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</si>
  <si>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</si>
  <si>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</si>
  <si>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</si>
  <si>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</si>
  <si>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</si>
  <si>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</si>
  <si>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</si>
  <si>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</si>
  <si>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</si>
  <si>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</si>
  <si>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</si>
  <si>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</si>
  <si>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</si>
  <si>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</si>
  <si>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</si>
  <si>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</si>
  <si>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</si>
  <si>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</si>
  <si>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</si>
  <si>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</si>
  <si>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</si>
  <si>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</si>
  <si>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</si>
  <si>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</si>
  <si>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</si>
  <si>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</si>
  <si>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</si>
  <si>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</si>
  <si>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</si>
  <si>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</si>
  <si>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</si>
  <si>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</si>
  <si>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</si>
  <si>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</si>
  <si>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</si>
  <si>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</si>
  <si>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</si>
  <si>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</si>
  <si>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</si>
  <si>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</si>
  <si>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</si>
  <si>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</si>
  <si>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</si>
  <si>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</si>
  <si>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</si>
  <si>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</si>
  <si>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</si>
  <si>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</si>
  <si>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</si>
  <si>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</si>
  <si>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</si>
  <si>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</si>
  <si>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</si>
  <si>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</si>
  <si>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</si>
  <si>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</si>
  <si>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</si>
  <si>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</si>
  <si>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</si>
  <si>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</si>
  <si>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</si>
  <si>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</si>
  <si>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</si>
  <si>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</si>
  <si>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</si>
  <si>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</si>
  <si>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</si>
  <si>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</si>
  <si>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</si>
  <si>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</si>
  <si>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</si>
  <si>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</si>
  <si>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</si>
  <si>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</si>
  <si>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</si>
  <si>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</si>
  <si>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</si>
  <si>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</si>
  <si>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</si>
  <si>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</si>
  <si>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</si>
  <si>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</si>
  <si>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</si>
  <si>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</si>
  <si>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</si>
  <si>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</si>
  <si>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</si>
  <si>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</si>
  <si>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</si>
  <si>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</si>
  <si>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</si>
  <si>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</si>
  <si>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</si>
  <si>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</si>
  <si>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</si>
  <si>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</si>
  <si>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</si>
  <si>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</si>
  <si>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</si>
  <si>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</si>
  <si>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</si>
  <si>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</si>
  <si>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</si>
  <si>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</si>
  <si>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</si>
  <si>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</si>
  <si>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</si>
  <si>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</si>
  <si>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</si>
  <si>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</si>
  <si>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</si>
  <si>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</si>
  <si>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</si>
  <si>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</si>
  <si>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</si>
  <si>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</si>
  <si>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</si>
  <si>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</si>
  <si>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</si>
  <si>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</si>
  <si>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</si>
  <si>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</si>
  <si>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</si>
  <si>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</si>
  <si>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</si>
  <si>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</si>
  <si>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</si>
  <si>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</si>
  <si>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</si>
  <si>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</si>
  <si>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</si>
  <si>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</si>
  <si>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</si>
  <si>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</si>
  <si>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</si>
  <si>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</si>
  <si>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</si>
  <si>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</si>
  <si>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</si>
  <si>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</si>
  <si>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</si>
  <si>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</si>
  <si>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</si>
  <si>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</si>
  <si>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</si>
  <si>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</si>
  <si>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</si>
  <si>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</si>
  <si>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</si>
  <si>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</si>
  <si>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</si>
  <si>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</si>
  <si>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</si>
  <si>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</si>
  <si>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</si>
  <si>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</si>
  <si>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</si>
  <si>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</si>
  <si>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</si>
  <si>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</si>
  <si>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</si>
  <si>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</si>
  <si>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</si>
  <si>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</si>
  <si>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</si>
  <si>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</si>
  <si>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</si>
  <si>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</si>
  <si>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</si>
  <si>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</si>
  <si>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</si>
  <si>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</si>
  <si>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</si>
  <si>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</si>
  <si>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</si>
  <si>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</si>
  <si>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</si>
  <si>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</si>
  <si>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</si>
  <si>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</si>
  <si>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</si>
  <si>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</si>
  <si>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</si>
  <si>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</si>
  <si>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</si>
  <si>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</si>
  <si>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</si>
  <si>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</si>
  <si>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</si>
  <si>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</si>
  <si>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</si>
  <si>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</si>
  <si>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</si>
  <si>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</si>
  <si>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</si>
  <si>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</si>
  <si>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</si>
  <si>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</si>
  <si>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</si>
  <si>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</si>
  <si>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</si>
  <si>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</si>
  <si>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</si>
  <si>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</si>
  <si>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</si>
  <si>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</si>
  <si>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</si>
  <si>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</si>
  <si>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</si>
  <si>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</si>
  <si>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</si>
  <si>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</si>
  <si>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</si>
  <si>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</si>
  <si>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</si>
  <si>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</si>
  <si>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</si>
  <si>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</si>
  <si>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</si>
  <si>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</si>
  <si>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</si>
  <si>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</si>
  <si>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</si>
  <si>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</si>
  <si>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</si>
  <si>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</si>
  <si>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</si>
  <si>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</si>
  <si>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</si>
  <si>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</si>
  <si>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</si>
  <si>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</si>
  <si>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</si>
  <si>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</si>
  <si>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</si>
  <si>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</si>
  <si>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</si>
  <si>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</si>
  <si>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</si>
  <si>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</si>
  <si>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</si>
  <si>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</si>
  <si>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</si>
  <si>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</si>
  <si>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</si>
  <si>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</si>
  <si>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</si>
  <si>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</si>
  <si>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</si>
  <si>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</si>
  <si>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</si>
  <si>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</si>
  <si>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</si>
  <si>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</si>
  <si>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</si>
  <si>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</si>
  <si>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</si>
  <si>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</si>
  <si>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</si>
  <si>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</si>
  <si>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</si>
  <si>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</si>
  <si>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</si>
  <si>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</si>
  <si>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</si>
  <si>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</si>
  <si>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</si>
  <si>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</si>
  <si>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</si>
  <si>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</si>
  <si>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</si>
  <si>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</si>
  <si>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</si>
  <si>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</si>
  <si>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</si>
  <si>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</si>
  <si>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</si>
  <si>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</si>
  <si>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</si>
  <si>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</si>
  <si>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</si>
  <si>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</si>
  <si>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</si>
  <si>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</si>
  <si>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</si>
  <si>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</si>
  <si>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</si>
  <si>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</si>
  <si>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</si>
  <si>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</si>
  <si>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</si>
  <si>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</si>
  <si>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</si>
  <si>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</si>
  <si>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</si>
  <si>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</si>
  <si>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</si>
  <si>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</si>
  <si>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</si>
  <si>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</si>
  <si>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</si>
  <si>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</si>
  <si>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</si>
  <si>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</si>
  <si>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</si>
  <si>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</si>
  <si>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</si>
  <si>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</si>
  <si>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</si>
  <si>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</si>
  <si>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</si>
  <si>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</si>
  <si>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</si>
  <si>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</si>
  <si>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</si>
  <si>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</si>
  <si>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</si>
  <si>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</si>
  <si>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</si>
  <si>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</si>
  <si>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</si>
  <si>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</si>
  <si>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</si>
  <si>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</si>
  <si>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</si>
  <si>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</si>
  <si>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</si>
  <si>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 CODE</t>
  </si>
  <si>
    <t>Metric</t>
  </si>
  <si>
    <t>Unit Price</t>
  </si>
  <si>
    <t>Total Price</t>
  </si>
  <si>
    <t>Count</t>
  </si>
  <si>
    <t>Median</t>
  </si>
  <si>
    <t>Min</t>
  </si>
  <si>
    <t>Max</t>
  </si>
  <si>
    <t>Average</t>
  </si>
  <si>
    <t>Subtotal</t>
  </si>
  <si>
    <t>sum</t>
  </si>
  <si>
    <t>Descriptive Statistics</t>
  </si>
  <si>
    <t>Grand Total</t>
  </si>
  <si>
    <t>Products</t>
  </si>
  <si>
    <t>Total sales</t>
  </si>
  <si>
    <t>Product Sales Trend</t>
  </si>
  <si>
    <t>Order Status Trend</t>
  </si>
  <si>
    <t>Payment Method Analysis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</si>
  <si>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</si>
  <si>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</si>
  <si>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</si>
  <si>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</si>
  <si>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</si>
  <si>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</si>
  <si>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</si>
  <si>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</si>
  <si>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</si>
  <si>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</si>
  <si>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</si>
  <si>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</si>
  <si>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 Status</t>
  </si>
  <si>
    <t>Qty</t>
  </si>
  <si>
    <t>Payment Method</t>
  </si>
  <si>
    <t>Referral Source</t>
  </si>
  <si>
    <t>Months</t>
  </si>
  <si>
    <t>Total Sales</t>
  </si>
  <si>
    <t>Monthly Trend</t>
  </si>
  <si>
    <t>Trend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</si>
</sst>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10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2" borderId="8" xfId="0" applyFill="1" applyBorder="1"/>
    <xf numFmtId="0" fontId="0" fillId="2" borderId="10" xfId="0" applyFill="1" applyBorder="1"/>
    <xf numFmtId="0" fontId="0" fillId="2" borderId="0" xfId="0" applyFill="1"/>
    <xf numFmtId="0" fontId="0" fillId="2" borderId="3" xfId="0" applyFill="1" applyBorder="1"/>
    <xf numFmtId="0" fontId="0" fillId="2" borderId="11" xfId="0" applyFill="1" applyBorder="1"/>
    <xf numFmtId="0" fontId="0" fillId="2" borderId="12" xfId="0" applyFill="1" applyBorder="1"/>
    <xf numFmtId="0" fontId="1" fillId="2" borderId="0" xfId="0" applyFont="1" applyFill="1" applyAlignment="1">
      <alignment horizontal="center" vertical="top"/>
    </xf>
    <xf numFmtId="165" fontId="0" fillId="0" borderId="0" xfId="0" applyNumberFormat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left"/>
    </xf>
    <xf numFmtId="0" fontId="0" fillId="2" borderId="9" xfId="0" applyFill="1" applyBorder="1"/>
    <xf numFmtId="0" fontId="0" fillId="2" borderId="14" xfId="0" applyFill="1" applyBorder="1"/>
    <xf numFmtId="0" fontId="0" fillId="4" borderId="10" xfId="0" applyFill="1" applyBorder="1"/>
    <xf numFmtId="0" fontId="0" fillId="4" borderId="1" xfId="0" applyFill="1" applyBorder="1"/>
    <xf numFmtId="0" fontId="0" fillId="4" borderId="2" xfId="0" applyFill="1" applyBorder="1"/>
    <xf numFmtId="0" fontId="0" fillId="0" borderId="9" xfId="0" applyBorder="1"/>
    <xf numFmtId="0" fontId="0" fillId="0" borderId="14" xfId="0" applyBorder="1"/>
    <xf numFmtId="0" fontId="0" fillId="0" borderId="9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1" xfId="0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7" xfId="0" applyFill="1" applyBorder="1"/>
    <xf numFmtId="0" fontId="0" fillId="2" borderId="13" xfId="0" applyFill="1" applyBorder="1"/>
    <xf numFmtId="0" fontId="0" fillId="2" borderId="6" xfId="0" applyFill="1" applyBorder="1"/>
    <xf numFmtId="43" fontId="0" fillId="2" borderId="9" xfId="0" applyNumberFormat="1" applyFill="1" applyBorder="1"/>
    <xf numFmtId="43" fontId="0" fillId="2" borderId="14" xfId="0" applyNumberFormat="1" applyFill="1" applyBorder="1"/>
    <xf numFmtId="43" fontId="0" fillId="4" borderId="1" xfId="0" applyNumberFormat="1" applyFill="1" applyBorder="1"/>
    <xf numFmtId="0" fontId="1" fillId="3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1">
    <cellStyle name="Normal" xfId="0" builtinId="0"/>
  </cellStyles>
  <dxfs count="177"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/>
    </dxf>
    <dxf>
      <fill>
        <patternFill>
          <fgColor theme="8" tint="0.59999389629810485"/>
        </patternFill>
      </fill>
    </dxf>
    <dxf>
      <fill>
        <patternFill>
          <fgColor theme="8" tint="0.59999389629810485"/>
        </patternFill>
      </fill>
    </dxf>
    <dxf>
      <fill>
        <patternFill>
          <fgColor theme="8" tint="0.59999389629810485"/>
        </patternFill>
      </fill>
    </dxf>
    <dxf>
      <fill>
        <patternFill>
          <fgColor theme="8" tint="0.59999389629810485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0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/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fill>
        <patternFill>
          <fgColor theme="8" tint="0.59999389629810485"/>
        </patternFill>
      </fill>
    </dxf>
    <dxf>
      <fill>
        <patternFill>
          <fgColor theme="8" tint="0.59999389629810485"/>
        </patternFill>
      </fill>
    </dxf>
    <dxf>
      <fill>
        <patternFill>
          <fgColor theme="8" tint="0.59999389629810485"/>
        </patternFill>
      </fill>
    </dxf>
    <dxf>
      <fill>
        <patternFill>
          <fgColor theme="8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12</xdr:row>
      <xdr:rowOff>158751</xdr:rowOff>
    </xdr:from>
    <xdr:to>
      <xdr:col>12</xdr:col>
      <xdr:colOff>84667</xdr:colOff>
      <xdr:row>23</xdr:row>
      <xdr:rowOff>148166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0B0A9C1-2842-E4CA-F233-7D408F334276}"/>
            </a:ext>
          </a:extLst>
        </xdr:cNvPr>
        <xdr:cNvSpPr/>
      </xdr:nvSpPr>
      <xdr:spPr>
        <a:xfrm>
          <a:off x="3100916" y="2497668"/>
          <a:ext cx="6709834" cy="2084915"/>
        </a:xfrm>
        <a:prstGeom prst="roundRect">
          <a:avLst>
            <a:gd name="adj" fmla="val 5508"/>
          </a:avLst>
        </a:prstGeom>
        <a:solidFill>
          <a:schemeClr val="accent5">
            <a:lumMod val="40000"/>
            <a:lumOff val="6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>
              <a:solidFill>
                <a:schemeClr val="tx1"/>
              </a:solidFill>
            </a:rPr>
            <a:t>Insight</a:t>
          </a:r>
          <a:r>
            <a:rPr lang="en-US" sz="1200" baseline="0">
              <a:solidFill>
                <a:schemeClr val="tx1"/>
              </a:solidFill>
            </a:rPr>
            <a:t> -</a:t>
          </a:r>
        </a:p>
        <a:p>
          <a:pPr algn="l"/>
          <a:r>
            <a:rPr lang="en-US" sz="1200" baseline="0">
              <a:solidFill>
                <a:schemeClr val="tx1"/>
              </a:solidFill>
            </a:rPr>
            <a:t>1. Product - chair has the highest amount sold</a:t>
          </a:r>
        </a:p>
        <a:p>
          <a:pPr algn="l"/>
          <a:endParaRPr lang="en-US" sz="1200" baseline="0">
            <a:solidFill>
              <a:schemeClr val="tx1"/>
            </a:solidFill>
          </a:endParaRPr>
        </a:p>
        <a:p>
          <a:pPr algn="l"/>
          <a:r>
            <a:rPr lang="en-US" sz="1200" baseline="0">
              <a:solidFill>
                <a:schemeClr val="tx1"/>
              </a:solidFill>
            </a:rPr>
            <a:t>2. Cancelled Order a extremely high.</a:t>
          </a:r>
        </a:p>
        <a:p>
          <a:pPr algn="l"/>
          <a:endParaRPr lang="en-US" sz="1200" baseline="0">
            <a:solidFill>
              <a:schemeClr val="tx1"/>
            </a:solidFill>
          </a:endParaRPr>
        </a:p>
        <a:p>
          <a:pPr algn="l"/>
          <a:r>
            <a:rPr lang="en-US" sz="1200" baseline="0">
              <a:solidFill>
                <a:schemeClr val="tx1"/>
              </a:solidFill>
            </a:rPr>
            <a:t>3. Transactions or Payment method are mostly throught cash, followed by Online transactions.</a:t>
          </a:r>
        </a:p>
        <a:p>
          <a:pPr algn="l"/>
          <a:endParaRPr lang="en-US" sz="1200" baseline="0">
            <a:solidFill>
              <a:schemeClr val="tx1"/>
            </a:solidFill>
          </a:endParaRPr>
        </a:p>
        <a:p>
          <a:pPr algn="l"/>
          <a:r>
            <a:rPr lang="en-US" sz="1200" baseline="0">
              <a:solidFill>
                <a:schemeClr val="tx1"/>
              </a:solidFill>
            </a:rPr>
            <a:t>4. Instagram got the highest customer traffic.</a:t>
          </a:r>
        </a:p>
        <a:p>
          <a:pPr algn="l"/>
          <a:endParaRPr lang="en-US" sz="1200" baseline="0">
            <a:solidFill>
              <a:schemeClr val="tx1"/>
            </a:solidFill>
          </a:endParaRPr>
        </a:p>
        <a:p>
          <a:pPr algn="l"/>
          <a:r>
            <a:rPr lang="en-US" sz="1200" baseline="0">
              <a:solidFill>
                <a:schemeClr val="tx1"/>
              </a:solidFill>
            </a:rPr>
            <a:t>5.  Sale fluntuate monthly, but the month of June had more sales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" refreshedDate="46176.670026041669" createdVersion="8" refreshedVersion="8" minRefreshableVersion="3" recordCount="1200" xr:uid="{8844F6CF-A9F7-4DFD-81D1-1FD1B63AB2A3}">
  <cacheSource type="worksheet">
    <worksheetSource name="Table1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x v="0"/>
    <n v="2853.1"/>
  </r>
  <r>
    <s v="ORD200001"/>
    <x v="1"/>
    <s v="C75739"/>
    <x v="1"/>
    <n v="2"/>
    <n v="151.35"/>
    <s v="823 Main St"/>
    <x v="1"/>
    <x v="0"/>
    <s v="TRK91186779"/>
    <n v="3"/>
    <s v="SAVE10"/>
    <x v="1"/>
    <n v="302.7"/>
  </r>
  <r>
    <s v="ORD200002"/>
    <x v="2"/>
    <s v="C81728"/>
    <x v="2"/>
    <n v="5"/>
    <n v="550.67999999999995"/>
    <s v="512 Main St"/>
    <x v="2"/>
    <x v="1"/>
    <s v="TRK42903982"/>
    <n v="8"/>
    <s v="FREESHIP"/>
    <x v="2"/>
    <n v="2753.4"/>
  </r>
  <r>
    <s v="ORD200003"/>
    <x v="3"/>
    <s v="C33540"/>
    <x v="3"/>
    <n v="1"/>
    <n v="273.19"/>
    <s v="275 Main St"/>
    <x v="0"/>
    <x v="2"/>
    <s v="TRK62788070"/>
    <n v="5"/>
    <s v="SAVE10"/>
    <x v="3"/>
    <n v="273.19"/>
  </r>
  <r>
    <s v="ORD200004"/>
    <x v="4"/>
    <s v="C81840"/>
    <x v="4"/>
    <n v="4"/>
    <n v="626.01"/>
    <s v="668 Main St"/>
    <x v="1"/>
    <x v="3"/>
    <s v="TRK29241424"/>
    <n v="8"/>
    <s v="SAVE10"/>
    <x v="2"/>
    <n v="2504.04"/>
  </r>
  <r>
    <s v="ORD200005"/>
    <x v="5"/>
    <s v="C37249"/>
    <x v="1"/>
    <n v="2"/>
    <n v="245.86"/>
    <s v="934 Main St"/>
    <x v="2"/>
    <x v="0"/>
    <s v="TRK72976927"/>
    <n v="4"/>
    <s v="SAVE10"/>
    <x v="0"/>
    <n v="491.72"/>
  </r>
  <r>
    <s v="ORD200006"/>
    <x v="6"/>
    <s v="C83492"/>
    <x v="5"/>
    <n v="1"/>
    <n v="664.42"/>
    <s v="986 Main St"/>
    <x v="3"/>
    <x v="2"/>
    <s v="TRK96417362"/>
    <n v="6"/>
    <s v="SAVE10"/>
    <x v="3"/>
    <n v="664.42"/>
  </r>
  <r>
    <s v="ORD200007"/>
    <x v="7"/>
    <s v="C41460"/>
    <x v="0"/>
    <n v="5"/>
    <n v="149.55000000000001"/>
    <s v="706 Main St"/>
    <x v="4"/>
    <x v="0"/>
    <s v="TRK78809193"/>
    <n v="9"/>
    <s v="FREESHIP"/>
    <x v="3"/>
    <n v="747.75"/>
  </r>
  <r>
    <s v="ORD200008"/>
    <x v="8"/>
    <s v="C26817"/>
    <x v="1"/>
    <n v="2"/>
    <n v="134.28"/>
    <s v="904 Main St"/>
    <x v="3"/>
    <x v="1"/>
    <s v="TRK61042692"/>
    <n v="2"/>
    <s v="NO COUPON CODE"/>
    <x v="2"/>
    <n v="268.56"/>
  </r>
  <r>
    <s v="ORD200009"/>
    <x v="9"/>
    <s v="C31946"/>
    <x v="6"/>
    <n v="4"/>
    <n v="509.38"/>
    <s v="102 Main St"/>
    <x v="2"/>
    <x v="0"/>
    <s v="TRK33478363"/>
    <n v="6"/>
    <s v="SAVE10"/>
    <x v="4"/>
    <n v="2037.52"/>
  </r>
  <r>
    <s v="ORD200010"/>
    <x v="10"/>
    <s v="C43443"/>
    <x v="2"/>
    <n v="5"/>
    <n v="625.97"/>
    <s v="333 Main St"/>
    <x v="2"/>
    <x v="2"/>
    <s v="TRK98859248"/>
    <n v="9"/>
    <s v="WINTER15"/>
    <x v="0"/>
    <n v="3129.85"/>
  </r>
  <r>
    <s v="ORD200011"/>
    <x v="11"/>
    <s v="C93861"/>
    <x v="0"/>
    <n v="3"/>
    <n v="49.14"/>
    <s v="831 Main St"/>
    <x v="1"/>
    <x v="2"/>
    <s v="TRK48234646"/>
    <n v="7"/>
    <s v="SAVE10"/>
    <x v="2"/>
    <n v="147.41999999999999"/>
  </r>
  <r>
    <s v="ORD200012"/>
    <x v="12"/>
    <s v="C38785"/>
    <x v="0"/>
    <n v="2"/>
    <n v="180.5"/>
    <s v="179 Main St"/>
    <x v="0"/>
    <x v="4"/>
    <s v="TRK20419991"/>
    <n v="6"/>
    <s v="FREESHIP"/>
    <x v="1"/>
    <n v="361"/>
  </r>
  <r>
    <s v="ORD200013"/>
    <x v="13"/>
    <s v="C88348"/>
    <x v="5"/>
    <n v="3"/>
    <n v="201.49"/>
    <s v="903 Main St"/>
    <x v="2"/>
    <x v="2"/>
    <s v="TRK81913874"/>
    <n v="4"/>
    <s v="FREESHIP"/>
    <x v="3"/>
    <n v="604.47"/>
  </r>
  <r>
    <s v="ORD200014"/>
    <x v="14"/>
    <s v="C98474"/>
    <x v="2"/>
    <n v="2"/>
    <n v="393.33"/>
    <s v="980 Main St"/>
    <x v="0"/>
    <x v="4"/>
    <s v="TRK79186539"/>
    <n v="3"/>
    <s v="SAVE10"/>
    <x v="0"/>
    <n v="786.66"/>
  </r>
  <r>
    <s v="ORD200015"/>
    <x v="15"/>
    <s v="C39416"/>
    <x v="4"/>
    <n v="1"/>
    <n v="473.96"/>
    <s v="942 Main St"/>
    <x v="4"/>
    <x v="3"/>
    <s v="TRK54930938"/>
    <n v="3"/>
    <s v="NO COUPON CODE"/>
    <x v="4"/>
    <n v="473.96"/>
  </r>
  <r>
    <s v="ORD200016"/>
    <x v="16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x v="17"/>
    <s v="C60672"/>
    <x v="2"/>
    <n v="1"/>
    <n v="423.4"/>
    <s v="382 Main St"/>
    <x v="0"/>
    <x v="0"/>
    <s v="TRK11972116"/>
    <n v="3"/>
    <s v="NO COUPON CODE"/>
    <x v="1"/>
    <n v="423.4"/>
  </r>
  <r>
    <s v="ORD200018"/>
    <x v="18"/>
    <s v="C84329"/>
    <x v="6"/>
    <n v="1"/>
    <n v="431.44"/>
    <s v="891 Main St"/>
    <x v="3"/>
    <x v="4"/>
    <s v="TRK65191045"/>
    <n v="3"/>
    <s v="SAVE10"/>
    <x v="3"/>
    <n v="431.44"/>
  </r>
  <r>
    <s v="ORD200019"/>
    <x v="19"/>
    <s v="C14552"/>
    <x v="0"/>
    <n v="5"/>
    <n v="224"/>
    <s v="273 Main St"/>
    <x v="4"/>
    <x v="2"/>
    <s v="TRK59101365"/>
    <n v="9"/>
    <s v="SAVE10"/>
    <x v="4"/>
    <n v="1120"/>
  </r>
  <r>
    <s v="ORD200020"/>
    <x v="20"/>
    <s v="C54829"/>
    <x v="3"/>
    <n v="5"/>
    <n v="62.51"/>
    <s v="587 Main St"/>
    <x v="4"/>
    <x v="4"/>
    <s v="TRK16718651"/>
    <n v="9"/>
    <s v="WINTER15"/>
    <x v="0"/>
    <n v="312.55"/>
  </r>
  <r>
    <s v="ORD200021"/>
    <x v="21"/>
    <s v="C99023"/>
    <x v="0"/>
    <n v="4"/>
    <n v="342.95"/>
    <s v="569 Main St"/>
    <x v="4"/>
    <x v="3"/>
    <s v="TRK52646983"/>
    <n v="6"/>
    <s v="NO COUPON CODE"/>
    <x v="4"/>
    <n v="1371.8"/>
  </r>
  <r>
    <s v="ORD200022"/>
    <x v="22"/>
    <s v="C34416"/>
    <x v="0"/>
    <n v="2"/>
    <n v="49.62"/>
    <s v="633 Main St"/>
    <x v="1"/>
    <x v="4"/>
    <s v="TRK75937350"/>
    <n v="2"/>
    <s v="SAVE10"/>
    <x v="4"/>
    <n v="99.24"/>
  </r>
  <r>
    <s v="ORD200023"/>
    <x v="23"/>
    <s v="C42372"/>
    <x v="1"/>
    <n v="4"/>
    <n v="273.25"/>
    <s v="755 Main St"/>
    <x v="0"/>
    <x v="1"/>
    <s v="TRK36168083"/>
    <n v="5"/>
    <s v="FREESHIP"/>
    <x v="1"/>
    <n v="1093"/>
  </r>
  <r>
    <s v="ORD200024"/>
    <x v="24"/>
    <s v="C17470"/>
    <x v="5"/>
    <n v="2"/>
    <n v="230.95"/>
    <s v="956 Main St"/>
    <x v="1"/>
    <x v="3"/>
    <s v="TRK28775057"/>
    <n v="3"/>
    <s v="WINTER15"/>
    <x v="1"/>
    <n v="461.9"/>
  </r>
  <r>
    <s v="ORD200025"/>
    <x v="25"/>
    <s v="C42577"/>
    <x v="0"/>
    <n v="1"/>
    <n v="399.98"/>
    <s v="709 Main St"/>
    <x v="0"/>
    <x v="3"/>
    <s v="TRK69423327"/>
    <n v="3"/>
    <s v="WINTER15"/>
    <x v="2"/>
    <n v="399.98"/>
  </r>
  <r>
    <s v="ORD200026"/>
    <x v="26"/>
    <s v="C21944"/>
    <x v="5"/>
    <n v="5"/>
    <n v="59.55"/>
    <s v="296 Main St"/>
    <x v="1"/>
    <x v="3"/>
    <s v="TRK80276812"/>
    <n v="6"/>
    <s v="NO COUPON CODE"/>
    <x v="1"/>
    <n v="297.75"/>
  </r>
  <r>
    <s v="ORD200027"/>
    <x v="27"/>
    <s v="C97593"/>
    <x v="4"/>
    <n v="1"/>
    <n v="472.74"/>
    <s v="881 Main St"/>
    <x v="1"/>
    <x v="0"/>
    <s v="TRK89117573"/>
    <n v="6"/>
    <s v="WINTER15"/>
    <x v="4"/>
    <n v="472.74"/>
  </r>
  <r>
    <s v="ORD200028"/>
    <x v="9"/>
    <s v="C59823"/>
    <x v="1"/>
    <n v="4"/>
    <n v="160.07"/>
    <s v="568 Main St"/>
    <x v="1"/>
    <x v="4"/>
    <s v="TRK65895539"/>
    <n v="5"/>
    <s v="NO COUPON CODE"/>
    <x v="2"/>
    <n v="640.28"/>
  </r>
  <r>
    <s v="ORD200029"/>
    <x v="28"/>
    <s v="C33260"/>
    <x v="6"/>
    <n v="3"/>
    <n v="423.53"/>
    <s v="930 Main St"/>
    <x v="2"/>
    <x v="3"/>
    <s v="TRK59744090"/>
    <n v="6"/>
    <s v="SAVE10"/>
    <x v="1"/>
    <n v="1270.5899999999999"/>
  </r>
  <r>
    <s v="ORD200030"/>
    <x v="29"/>
    <s v="C44267"/>
    <x v="0"/>
    <n v="2"/>
    <n v="426.7"/>
    <s v="895 Main St"/>
    <x v="1"/>
    <x v="4"/>
    <s v="TRK54751444"/>
    <n v="5"/>
    <s v="SAVE10"/>
    <x v="1"/>
    <n v="853.4"/>
  </r>
  <r>
    <s v="ORD200031"/>
    <x v="30"/>
    <s v="C26445"/>
    <x v="3"/>
    <n v="3"/>
    <n v="500.08"/>
    <s v="996 Main St"/>
    <x v="0"/>
    <x v="2"/>
    <s v="TRK31229981"/>
    <n v="6"/>
    <s v="NO COUPON CODE"/>
    <x v="3"/>
    <n v="1500.24"/>
  </r>
  <r>
    <s v="ORD200032"/>
    <x v="31"/>
    <s v="C12388"/>
    <x v="2"/>
    <n v="5"/>
    <n v="536.72"/>
    <s v="830 Main St"/>
    <x v="4"/>
    <x v="3"/>
    <s v="TRK99261395"/>
    <n v="10"/>
    <s v="NO COUPON CODE"/>
    <x v="2"/>
    <n v="2683.6"/>
  </r>
  <r>
    <s v="ORD200033"/>
    <x v="32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x v="33"/>
    <s v="C67195"/>
    <x v="3"/>
    <n v="4"/>
    <n v="576.52"/>
    <s v="926 Main St"/>
    <x v="2"/>
    <x v="4"/>
    <s v="TRK55467915"/>
    <n v="5"/>
    <s v="WINTER15"/>
    <x v="3"/>
    <n v="2306.08"/>
  </r>
  <r>
    <s v="ORD200035"/>
    <x v="34"/>
    <s v="C50304"/>
    <x v="0"/>
    <n v="2"/>
    <n v="465.15"/>
    <s v="128 Main St"/>
    <x v="1"/>
    <x v="0"/>
    <s v="TRK46850888"/>
    <n v="2"/>
    <s v="SAVE10"/>
    <x v="3"/>
    <n v="930.3"/>
  </r>
  <r>
    <s v="ORD200036"/>
    <x v="4"/>
    <s v="C59337"/>
    <x v="5"/>
    <n v="2"/>
    <n v="534.42999999999995"/>
    <s v="465 Main St"/>
    <x v="0"/>
    <x v="4"/>
    <s v="TRK50961250"/>
    <n v="5"/>
    <s v="NO COUPON CODE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x v="36"/>
    <s v="C15924"/>
    <x v="5"/>
    <n v="1"/>
    <n v="245.89"/>
    <s v="549 Main St"/>
    <x v="0"/>
    <x v="3"/>
    <s v="TRK14835975"/>
    <n v="3"/>
    <s v="SAVE10"/>
    <x v="4"/>
    <n v="245.89"/>
  </r>
  <r>
    <s v="ORD200039"/>
    <x v="37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x v="38"/>
    <s v="C84766"/>
    <x v="6"/>
    <n v="2"/>
    <n v="344.02"/>
    <s v="267 Main St"/>
    <x v="1"/>
    <x v="3"/>
    <s v="TRK78967923"/>
    <n v="4"/>
    <s v="FREESHIP"/>
    <x v="0"/>
    <n v="688.04"/>
  </r>
  <r>
    <s v="ORD200041"/>
    <x v="39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x v="40"/>
    <s v="C28712"/>
    <x v="4"/>
    <n v="2"/>
    <n v="151.66"/>
    <s v="980 Main St"/>
    <x v="4"/>
    <x v="1"/>
    <s v="TRK40772558"/>
    <n v="6"/>
    <s v="NO COUPON CODE"/>
    <x v="0"/>
    <n v="303.32"/>
  </r>
  <r>
    <s v="ORD200043"/>
    <x v="41"/>
    <s v="C60572"/>
    <x v="3"/>
    <n v="3"/>
    <n v="499.21"/>
    <s v="871 Main St"/>
    <x v="1"/>
    <x v="1"/>
    <s v="TRK20351666"/>
    <n v="8"/>
    <s v="NO COUPON CODE"/>
    <x v="0"/>
    <n v="1497.63"/>
  </r>
  <r>
    <s v="ORD200044"/>
    <x v="42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x v="43"/>
    <s v="C17388"/>
    <x v="3"/>
    <n v="1"/>
    <n v="317.25"/>
    <s v="157 Main St"/>
    <x v="0"/>
    <x v="2"/>
    <s v="TRK47077395"/>
    <n v="1"/>
    <s v="SAVE10"/>
    <x v="3"/>
    <n v="317.25"/>
  </r>
  <r>
    <s v="ORD200046"/>
    <x v="44"/>
    <s v="C43212"/>
    <x v="0"/>
    <n v="4"/>
    <n v="550.14"/>
    <s v="223 Main St"/>
    <x v="0"/>
    <x v="4"/>
    <s v="TRK25100762"/>
    <n v="4"/>
    <s v="FREESHIP"/>
    <x v="0"/>
    <n v="2200.56"/>
  </r>
  <r>
    <s v="ORD200047"/>
    <x v="45"/>
    <s v="C38134"/>
    <x v="6"/>
    <n v="2"/>
    <n v="209.94"/>
    <s v="323 Main St"/>
    <x v="2"/>
    <x v="2"/>
    <s v="TRK42450754"/>
    <n v="3"/>
    <s v="FREESHIP"/>
    <x v="2"/>
    <n v="419.88"/>
  </r>
  <r>
    <s v="ORD200048"/>
    <x v="46"/>
    <s v="C12408"/>
    <x v="0"/>
    <n v="2"/>
    <n v="80.77"/>
    <s v="464 Main St"/>
    <x v="0"/>
    <x v="0"/>
    <s v="TRK38938858"/>
    <n v="4"/>
    <s v="NO COUPON CODE"/>
    <x v="4"/>
    <n v="161.54"/>
  </r>
  <r>
    <s v="ORD200049"/>
    <x v="47"/>
    <s v="C11985"/>
    <x v="4"/>
    <n v="1"/>
    <n v="30.44"/>
    <s v="633 Main St"/>
    <x v="2"/>
    <x v="0"/>
    <s v="TRK53272402"/>
    <n v="1"/>
    <s v="SAVE10"/>
    <x v="2"/>
    <n v="30.44"/>
  </r>
  <r>
    <s v="ORD200050"/>
    <x v="48"/>
    <s v="C96494"/>
    <x v="2"/>
    <n v="1"/>
    <n v="179.22"/>
    <s v="446 Main St"/>
    <x v="1"/>
    <x v="1"/>
    <s v="TRK14675049"/>
    <n v="6"/>
    <s v="FREESHIP"/>
    <x v="0"/>
    <n v="179.22"/>
  </r>
  <r>
    <s v="ORD200051"/>
    <x v="49"/>
    <s v="C36778"/>
    <x v="2"/>
    <n v="1"/>
    <n v="388.33"/>
    <s v="434 Main St"/>
    <x v="4"/>
    <x v="2"/>
    <s v="TRK67610289"/>
    <n v="2"/>
    <s v="SAVE10"/>
    <x v="3"/>
    <n v="388.33"/>
  </r>
  <r>
    <s v="ORD200052"/>
    <x v="5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x v="51"/>
    <s v="C67551"/>
    <x v="1"/>
    <n v="4"/>
    <n v="488.78"/>
    <s v="512 Main St"/>
    <x v="1"/>
    <x v="2"/>
    <s v="TRK94992552"/>
    <n v="5"/>
    <s v="FREESHIP"/>
    <x v="4"/>
    <n v="1955.12"/>
  </r>
  <r>
    <s v="ORD200054"/>
    <x v="52"/>
    <s v="C48120"/>
    <x v="3"/>
    <n v="1"/>
    <n v="280.25"/>
    <s v="623 Main St"/>
    <x v="1"/>
    <x v="4"/>
    <s v="TRK11014449"/>
    <n v="5"/>
    <s v="WINTER15"/>
    <x v="2"/>
    <n v="280.25"/>
  </r>
  <r>
    <s v="ORD200055"/>
    <x v="53"/>
    <s v="C95984"/>
    <x v="4"/>
    <n v="3"/>
    <n v="344.4"/>
    <s v="565 Main St"/>
    <x v="1"/>
    <x v="1"/>
    <s v="TRK67434829"/>
    <n v="3"/>
    <s v="NO COUPON CODE"/>
    <x v="3"/>
    <n v="1033.2"/>
  </r>
  <r>
    <s v="ORD200056"/>
    <x v="54"/>
    <s v="C54298"/>
    <x v="2"/>
    <n v="3"/>
    <n v="479.21"/>
    <s v="566 Main St"/>
    <x v="4"/>
    <x v="1"/>
    <s v="TRK62902341"/>
    <n v="5"/>
    <s v="WINTER15"/>
    <x v="1"/>
    <n v="1437.63"/>
  </r>
  <r>
    <s v="ORD200057"/>
    <x v="55"/>
    <s v="C88036"/>
    <x v="4"/>
    <n v="5"/>
    <n v="314.27"/>
    <s v="842 Main St"/>
    <x v="4"/>
    <x v="2"/>
    <s v="TRK52470128"/>
    <n v="6"/>
    <s v="SAVE10"/>
    <x v="0"/>
    <n v="1571.35"/>
  </r>
  <r>
    <s v="ORD200058"/>
    <x v="56"/>
    <s v="C60190"/>
    <x v="1"/>
    <n v="4"/>
    <n v="474.69"/>
    <s v="202 Main St"/>
    <x v="3"/>
    <x v="1"/>
    <s v="TRK70857868"/>
    <n v="6"/>
    <s v="SAVE10"/>
    <x v="4"/>
    <n v="1898.76"/>
  </r>
  <r>
    <s v="ORD200059"/>
    <x v="57"/>
    <s v="C97603"/>
    <x v="3"/>
    <n v="4"/>
    <n v="593.27"/>
    <s v="811 Main St"/>
    <x v="1"/>
    <x v="0"/>
    <s v="TRK47055028"/>
    <n v="5"/>
    <s v="NO COUPON CODE"/>
    <x v="3"/>
    <n v="2373.08"/>
  </r>
  <r>
    <s v="ORD200060"/>
    <x v="58"/>
    <s v="C39256"/>
    <x v="6"/>
    <n v="1"/>
    <n v="417.1"/>
    <s v="634 Main St"/>
    <x v="0"/>
    <x v="2"/>
    <s v="TRK23412025"/>
    <n v="3"/>
    <s v="FREESHIP"/>
    <x v="1"/>
    <n v="417.1"/>
  </r>
  <r>
    <s v="ORD200061"/>
    <x v="59"/>
    <s v="C61618"/>
    <x v="6"/>
    <n v="4"/>
    <n v="122.2"/>
    <s v="104 Main St"/>
    <x v="4"/>
    <x v="3"/>
    <s v="TRK43458485"/>
    <n v="7"/>
    <s v="FREESHIP"/>
    <x v="3"/>
    <n v="488.8"/>
  </r>
  <r>
    <s v="ORD200062"/>
    <x v="60"/>
    <s v="C36497"/>
    <x v="6"/>
    <n v="2"/>
    <n v="43.15"/>
    <s v="691 Main St"/>
    <x v="0"/>
    <x v="4"/>
    <s v="TRK12102911"/>
    <n v="3"/>
    <s v="WINTER15"/>
    <x v="2"/>
    <n v="86.3"/>
  </r>
  <r>
    <s v="ORD200063"/>
    <x v="61"/>
    <s v="C96695"/>
    <x v="3"/>
    <n v="1"/>
    <n v="564.86"/>
    <s v="813 Main St"/>
    <x v="0"/>
    <x v="0"/>
    <s v="TRK64283851"/>
    <n v="6"/>
    <s v="WINTER15"/>
    <x v="1"/>
    <n v="564.86"/>
  </r>
  <r>
    <s v="ORD200064"/>
    <x v="62"/>
    <s v="C49720"/>
    <x v="4"/>
    <n v="3"/>
    <n v="130.61000000000001"/>
    <s v="752 Main St"/>
    <x v="0"/>
    <x v="1"/>
    <s v="TRK55785217"/>
    <n v="4"/>
    <s v="FREESHIP"/>
    <x v="3"/>
    <n v="391.83"/>
  </r>
  <r>
    <s v="ORD200065"/>
    <x v="63"/>
    <s v="C97735"/>
    <x v="0"/>
    <n v="5"/>
    <n v="81.7"/>
    <s v="385 Main St"/>
    <x v="2"/>
    <x v="3"/>
    <s v="TRK13743703"/>
    <n v="6"/>
    <s v="NO COUPON CODE"/>
    <x v="0"/>
    <n v="408.5"/>
  </r>
  <r>
    <s v="ORD200066"/>
    <x v="64"/>
    <s v="C18104"/>
    <x v="3"/>
    <n v="5"/>
    <n v="127.18"/>
    <s v="715 Main St"/>
    <x v="4"/>
    <x v="1"/>
    <s v="TRK15488568"/>
    <n v="9"/>
    <s v="SAVE10"/>
    <x v="1"/>
    <n v="635.90000000000009"/>
  </r>
  <r>
    <s v="ORD200067"/>
    <x v="65"/>
    <s v="C25587"/>
    <x v="4"/>
    <n v="4"/>
    <n v="12.1"/>
    <s v="440 Main St"/>
    <x v="0"/>
    <x v="1"/>
    <s v="TRK55105323"/>
    <n v="8"/>
    <s v="NO COUPON CODE"/>
    <x v="4"/>
    <n v="48.4"/>
  </r>
  <r>
    <s v="ORD200068"/>
    <x v="66"/>
    <s v="C41598"/>
    <x v="3"/>
    <n v="3"/>
    <n v="490.92"/>
    <s v="709 Main St"/>
    <x v="2"/>
    <x v="4"/>
    <s v="TRK81665940"/>
    <n v="5"/>
    <s v="FREESHIP"/>
    <x v="2"/>
    <n v="1472.76"/>
  </r>
  <r>
    <s v="ORD200069"/>
    <x v="67"/>
    <s v="C43338"/>
    <x v="0"/>
    <n v="3"/>
    <n v="478.65"/>
    <s v="552 Main St"/>
    <x v="1"/>
    <x v="0"/>
    <s v="TRK35241775"/>
    <n v="4"/>
    <s v="NO COUPON CODE"/>
    <x v="1"/>
    <n v="1435.95"/>
  </r>
  <r>
    <s v="ORD200070"/>
    <x v="68"/>
    <s v="C25123"/>
    <x v="6"/>
    <n v="1"/>
    <n v="629.21"/>
    <s v="384 Main St"/>
    <x v="3"/>
    <x v="4"/>
    <s v="TRK27812282"/>
    <n v="2"/>
    <s v="FREESHIP"/>
    <x v="0"/>
    <n v="629.21"/>
  </r>
  <r>
    <s v="ORD200071"/>
    <x v="69"/>
    <s v="C37454"/>
    <x v="0"/>
    <n v="3"/>
    <n v="434.45"/>
    <s v="923 Main St"/>
    <x v="2"/>
    <x v="4"/>
    <s v="TRK28252730"/>
    <n v="4"/>
    <s v="NO COUPON CODE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s v="NO COUPON CODE"/>
    <x v="3"/>
    <n v="2357.7600000000002"/>
  </r>
  <r>
    <s v="ORD200073"/>
    <x v="71"/>
    <s v="C17269"/>
    <x v="0"/>
    <n v="4"/>
    <n v="433.45"/>
    <s v="129 Main St"/>
    <x v="3"/>
    <x v="1"/>
    <s v="TRK79608389"/>
    <n v="4"/>
    <s v="NO COUPON CODE"/>
    <x v="3"/>
    <n v="1733.8"/>
  </r>
  <r>
    <s v="ORD200074"/>
    <x v="72"/>
    <s v="C25382"/>
    <x v="1"/>
    <n v="5"/>
    <n v="90.87"/>
    <s v="622 Main St"/>
    <x v="4"/>
    <x v="4"/>
    <s v="TRK64691287"/>
    <n v="5"/>
    <s v="NO COUPON CODE"/>
    <x v="0"/>
    <n v="454.35"/>
  </r>
  <r>
    <s v="ORD200075"/>
    <x v="73"/>
    <s v="C80651"/>
    <x v="2"/>
    <n v="3"/>
    <n v="398.17"/>
    <s v="917 Main St"/>
    <x v="0"/>
    <x v="3"/>
    <s v="TRK14846720"/>
    <n v="5"/>
    <s v="SAVE10"/>
    <x v="2"/>
    <n v="1194.51"/>
  </r>
  <r>
    <s v="ORD200076"/>
    <x v="74"/>
    <s v="C58638"/>
    <x v="5"/>
    <n v="4"/>
    <n v="382.88"/>
    <s v="239 Main St"/>
    <x v="4"/>
    <x v="1"/>
    <s v="TRK38224871"/>
    <n v="6"/>
    <s v="WINTER15"/>
    <x v="2"/>
    <n v="1531.52"/>
  </r>
  <r>
    <s v="ORD200077"/>
    <x v="75"/>
    <s v="C50121"/>
    <x v="1"/>
    <n v="1"/>
    <n v="583.17999999999995"/>
    <s v="348 Main St"/>
    <x v="2"/>
    <x v="2"/>
    <s v="TRK79810059"/>
    <n v="5"/>
    <s v="NO COUPON CODE"/>
    <x v="4"/>
    <n v="583.17999999999995"/>
  </r>
  <r>
    <s v="ORD200078"/>
    <x v="76"/>
    <s v="C32029"/>
    <x v="4"/>
    <n v="4"/>
    <n v="175.36"/>
    <s v="146 Main St"/>
    <x v="0"/>
    <x v="3"/>
    <s v="TRK68535532"/>
    <n v="4"/>
    <s v="FREESHIP"/>
    <x v="0"/>
    <n v="701.44"/>
  </r>
  <r>
    <s v="ORD200079"/>
    <x v="77"/>
    <s v="C76700"/>
    <x v="2"/>
    <n v="2"/>
    <n v="311.91000000000003"/>
    <s v="103 Main St"/>
    <x v="1"/>
    <x v="0"/>
    <s v="TRK13036341"/>
    <n v="2"/>
    <s v="NO COUPON CODE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s v="NO COUPON CODE"/>
    <x v="3"/>
    <n v="1768.68"/>
  </r>
  <r>
    <s v="ORD200081"/>
    <x v="79"/>
    <s v="C29314"/>
    <x v="0"/>
    <n v="2"/>
    <n v="394.3"/>
    <s v="496 Main St"/>
    <x v="4"/>
    <x v="0"/>
    <s v="TRK59876213"/>
    <n v="6"/>
    <s v="FREESHIP"/>
    <x v="2"/>
    <n v="788.6"/>
  </r>
  <r>
    <s v="ORD200082"/>
    <x v="8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x v="60"/>
    <s v="C15681"/>
    <x v="5"/>
    <n v="4"/>
    <n v="540.41"/>
    <s v="989 Main St"/>
    <x v="2"/>
    <x v="1"/>
    <s v="TRK75112172"/>
    <n v="6"/>
    <s v="NO COUPON CODE"/>
    <x v="1"/>
    <n v="2161.64"/>
  </r>
  <r>
    <s v="ORD200084"/>
    <x v="81"/>
    <s v="C64160"/>
    <x v="0"/>
    <n v="2"/>
    <n v="165.49"/>
    <s v="967 Main St"/>
    <x v="1"/>
    <x v="0"/>
    <s v="TRK34121529"/>
    <n v="4"/>
    <s v="WINTER15"/>
    <x v="0"/>
    <n v="330.98"/>
  </r>
  <r>
    <s v="ORD200085"/>
    <x v="82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x v="83"/>
    <s v="C88205"/>
    <x v="4"/>
    <n v="5"/>
    <n v="643.03"/>
    <s v="447 Main St"/>
    <x v="1"/>
    <x v="1"/>
    <s v="TRK93504166"/>
    <n v="5"/>
    <s v="FREESHIP"/>
    <x v="1"/>
    <n v="3215.15"/>
  </r>
  <r>
    <s v="ORD200087"/>
    <x v="84"/>
    <s v="C91245"/>
    <x v="2"/>
    <n v="3"/>
    <n v="225.11"/>
    <s v="915 Main St"/>
    <x v="4"/>
    <x v="0"/>
    <s v="TRK46976391"/>
    <n v="4"/>
    <s v="SAVE10"/>
    <x v="3"/>
    <n v="675.33"/>
  </r>
  <r>
    <s v="ORD200088"/>
    <x v="85"/>
    <s v="C75439"/>
    <x v="6"/>
    <n v="3"/>
    <n v="114.81"/>
    <s v="318 Main St"/>
    <x v="3"/>
    <x v="1"/>
    <s v="TRK19831653"/>
    <n v="7"/>
    <s v="NO COUPON CODE"/>
    <x v="4"/>
    <n v="344.43"/>
  </r>
  <r>
    <s v="ORD200089"/>
    <x v="86"/>
    <s v="C17181"/>
    <x v="4"/>
    <n v="5"/>
    <n v="455.33"/>
    <s v="291 Main St"/>
    <x v="2"/>
    <x v="1"/>
    <s v="TRK78912978"/>
    <n v="8"/>
    <s v="FREESHIP"/>
    <x v="4"/>
    <n v="2276.65"/>
  </r>
  <r>
    <s v="ORD200090"/>
    <x v="87"/>
    <s v="C36540"/>
    <x v="3"/>
    <n v="4"/>
    <n v="182.08"/>
    <s v="611 Main St"/>
    <x v="3"/>
    <x v="3"/>
    <s v="TRK35828122"/>
    <n v="4"/>
    <s v="SAVE10"/>
    <x v="2"/>
    <n v="728.32"/>
  </r>
  <r>
    <s v="ORD200091"/>
    <x v="88"/>
    <s v="C98216"/>
    <x v="5"/>
    <n v="5"/>
    <n v="492.75"/>
    <s v="196 Main St"/>
    <x v="4"/>
    <x v="0"/>
    <s v="TRK40986666"/>
    <n v="6"/>
    <s v="WINTER15"/>
    <x v="1"/>
    <n v="2463.75"/>
  </r>
  <r>
    <s v="ORD200092"/>
    <x v="89"/>
    <s v="C29568"/>
    <x v="4"/>
    <n v="4"/>
    <n v="48.61"/>
    <s v="203 Main St"/>
    <x v="1"/>
    <x v="0"/>
    <s v="TRK46531075"/>
    <n v="7"/>
    <s v="FREESHIP"/>
    <x v="3"/>
    <n v="194.44"/>
  </r>
  <r>
    <s v="ORD200093"/>
    <x v="90"/>
    <s v="C97262"/>
    <x v="6"/>
    <n v="4"/>
    <n v="431.01"/>
    <s v="837 Main St"/>
    <x v="2"/>
    <x v="2"/>
    <s v="TRK65990229"/>
    <n v="7"/>
    <s v="NO COUPON CODE"/>
    <x v="1"/>
    <n v="1724.04"/>
  </r>
  <r>
    <s v="ORD200094"/>
    <x v="91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x v="92"/>
    <s v="C76761"/>
    <x v="4"/>
    <n v="4"/>
    <n v="117.51"/>
    <s v="839 Main St"/>
    <x v="0"/>
    <x v="2"/>
    <s v="TRK60179774"/>
    <n v="7"/>
    <s v="NO COUPON CODE"/>
    <x v="1"/>
    <n v="470.04"/>
  </r>
  <r>
    <s v="ORD200096"/>
    <x v="93"/>
    <s v="C93007"/>
    <x v="1"/>
    <n v="2"/>
    <n v="232.83"/>
    <s v="103 Main St"/>
    <x v="3"/>
    <x v="3"/>
    <s v="TRK85696091"/>
    <n v="7"/>
    <s v="NO COUPON CODE"/>
    <x v="0"/>
    <n v="465.66"/>
  </r>
  <r>
    <s v="ORD200097"/>
    <x v="94"/>
    <s v="C15624"/>
    <x v="2"/>
    <n v="5"/>
    <n v="619.52"/>
    <s v="922 Main St"/>
    <x v="0"/>
    <x v="4"/>
    <s v="TRK40621141"/>
    <n v="9"/>
    <s v="NO COUPON CODE"/>
    <x v="2"/>
    <n v="3097.6"/>
  </r>
  <r>
    <s v="ORD200098"/>
    <x v="90"/>
    <s v="C70921"/>
    <x v="4"/>
    <n v="2"/>
    <n v="228.54"/>
    <s v="533 Main St"/>
    <x v="0"/>
    <x v="4"/>
    <s v="TRK54983109"/>
    <n v="3"/>
    <s v="NO COUPON CODE"/>
    <x v="2"/>
    <n v="457.08"/>
  </r>
  <r>
    <s v="ORD200099"/>
    <x v="95"/>
    <s v="C30477"/>
    <x v="4"/>
    <n v="1"/>
    <n v="201.58"/>
    <s v="717 Main St"/>
    <x v="0"/>
    <x v="1"/>
    <s v="TRK51829648"/>
    <n v="2"/>
    <s v="WINTER15"/>
    <x v="2"/>
    <n v="201.58"/>
  </r>
  <r>
    <s v="ORD200100"/>
    <x v="96"/>
    <s v="C74866"/>
    <x v="1"/>
    <n v="3"/>
    <n v="664.79"/>
    <s v="743 Main St"/>
    <x v="1"/>
    <x v="3"/>
    <s v="TRK53783265"/>
    <n v="6"/>
    <s v="NO COUPON CODE"/>
    <x v="3"/>
    <n v="1994.37"/>
  </r>
  <r>
    <s v="ORD200101"/>
    <x v="97"/>
    <s v="C15283"/>
    <x v="4"/>
    <n v="1"/>
    <n v="381.02"/>
    <s v="152 Main St"/>
    <x v="4"/>
    <x v="0"/>
    <s v="TRK19286291"/>
    <n v="6"/>
    <s v="NO COUPON CODE"/>
    <x v="4"/>
    <n v="381.02"/>
  </r>
  <r>
    <s v="ORD200102"/>
    <x v="98"/>
    <s v="C18037"/>
    <x v="5"/>
    <n v="2"/>
    <n v="70.34"/>
    <s v="944 Main St"/>
    <x v="3"/>
    <x v="1"/>
    <s v="TRK47362236"/>
    <n v="3"/>
    <s v="FREESHIP"/>
    <x v="2"/>
    <n v="140.68"/>
  </r>
  <r>
    <s v="ORD200103"/>
    <x v="99"/>
    <s v="C62656"/>
    <x v="1"/>
    <n v="4"/>
    <n v="218.43"/>
    <s v="514 Main St"/>
    <x v="2"/>
    <x v="1"/>
    <s v="TRK86296459"/>
    <n v="9"/>
    <s v="SAVE10"/>
    <x v="2"/>
    <n v="873.72"/>
  </r>
  <r>
    <s v="ORD200104"/>
    <x v="100"/>
    <s v="C65744"/>
    <x v="1"/>
    <n v="1"/>
    <n v="582.04"/>
    <s v="647 Main St"/>
    <x v="3"/>
    <x v="3"/>
    <s v="TRK39906058"/>
    <n v="1"/>
    <s v="FREESHIP"/>
    <x v="2"/>
    <n v="582.04"/>
  </r>
  <r>
    <s v="ORD200105"/>
    <x v="101"/>
    <s v="C72290"/>
    <x v="4"/>
    <n v="3"/>
    <n v="185.4"/>
    <s v="810 Main St"/>
    <x v="3"/>
    <x v="1"/>
    <s v="TRK68792129"/>
    <n v="7"/>
    <s v="NO COUPON CODE"/>
    <x v="3"/>
    <n v="556.20000000000005"/>
  </r>
  <r>
    <s v="ORD200106"/>
    <x v="102"/>
    <s v="C73514"/>
    <x v="6"/>
    <n v="3"/>
    <n v="465.05"/>
    <s v="126 Main St"/>
    <x v="2"/>
    <x v="1"/>
    <s v="TRK96777924"/>
    <n v="3"/>
    <s v="SAVE10"/>
    <x v="2"/>
    <n v="1395.15"/>
  </r>
  <r>
    <s v="ORD200107"/>
    <x v="14"/>
    <s v="C16775"/>
    <x v="4"/>
    <n v="5"/>
    <n v="670.75"/>
    <s v="848 Main St"/>
    <x v="3"/>
    <x v="0"/>
    <s v="TRK34392124"/>
    <n v="8"/>
    <s v="FREESHIP"/>
    <x v="0"/>
    <n v="3353.75"/>
  </r>
  <r>
    <s v="ORD200108"/>
    <x v="103"/>
    <s v="C33099"/>
    <x v="5"/>
    <n v="5"/>
    <n v="48.38"/>
    <s v="522 Main St"/>
    <x v="3"/>
    <x v="3"/>
    <s v="TRK28522330"/>
    <n v="9"/>
    <s v="WINTER15"/>
    <x v="2"/>
    <n v="241.9"/>
  </r>
  <r>
    <s v="ORD200109"/>
    <x v="104"/>
    <s v="C51157"/>
    <x v="6"/>
    <n v="3"/>
    <n v="592.87"/>
    <s v="131 Main St"/>
    <x v="3"/>
    <x v="0"/>
    <s v="TRK18674578"/>
    <n v="3"/>
    <s v="FREESHIP"/>
    <x v="1"/>
    <n v="1778.61"/>
  </r>
  <r>
    <s v="ORD200110"/>
    <x v="105"/>
    <s v="C74562"/>
    <x v="2"/>
    <n v="1"/>
    <n v="220.77"/>
    <s v="388 Main St"/>
    <x v="3"/>
    <x v="4"/>
    <s v="TRK32062079"/>
    <n v="5"/>
    <s v="FREESHIP"/>
    <x v="0"/>
    <n v="220.77"/>
  </r>
  <r>
    <s v="ORD200111"/>
    <x v="106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x v="107"/>
    <s v="C81366"/>
    <x v="0"/>
    <n v="1"/>
    <n v="410.6"/>
    <s v="423 Main St"/>
    <x v="1"/>
    <x v="1"/>
    <s v="TRK17062206"/>
    <n v="2"/>
    <s v="WINTER15"/>
    <x v="1"/>
    <n v="410.6"/>
  </r>
  <r>
    <s v="ORD200113"/>
    <x v="108"/>
    <s v="C65905"/>
    <x v="5"/>
    <n v="5"/>
    <n v="190.08"/>
    <s v="605 Main St"/>
    <x v="4"/>
    <x v="0"/>
    <s v="TRK73954365"/>
    <n v="9"/>
    <s v="FREESHIP"/>
    <x v="0"/>
    <n v="950.40000000000009"/>
  </r>
  <r>
    <s v="ORD200114"/>
    <x v="109"/>
    <s v="C77272"/>
    <x v="0"/>
    <n v="5"/>
    <n v="498.48"/>
    <s v="115 Main St"/>
    <x v="1"/>
    <x v="4"/>
    <s v="TRK29708128"/>
    <n v="8"/>
    <s v="SAVE10"/>
    <x v="4"/>
    <n v="2492.4"/>
  </r>
  <r>
    <s v="ORD200115"/>
    <x v="110"/>
    <s v="C32580"/>
    <x v="1"/>
    <n v="5"/>
    <n v="374.99"/>
    <s v="122 Main St"/>
    <x v="1"/>
    <x v="0"/>
    <s v="TRK23670394"/>
    <n v="9"/>
    <s v="SAVE10"/>
    <x v="3"/>
    <n v="1874.95"/>
  </r>
  <r>
    <s v="ORD200116"/>
    <x v="111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x v="98"/>
    <s v="C49187"/>
    <x v="2"/>
    <n v="1"/>
    <n v="535.5"/>
    <s v="593 Main St"/>
    <x v="3"/>
    <x v="1"/>
    <s v="TRK81888598"/>
    <n v="5"/>
    <s v="WINTER15"/>
    <x v="1"/>
    <n v="535.5"/>
  </r>
  <r>
    <s v="ORD200118"/>
    <x v="112"/>
    <s v="C27898"/>
    <x v="4"/>
    <n v="5"/>
    <n v="502.71"/>
    <s v="807 Main St"/>
    <x v="3"/>
    <x v="0"/>
    <s v="TRK61957665"/>
    <n v="7"/>
    <s v="FREESHIP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x v="114"/>
    <s v="C58108"/>
    <x v="2"/>
    <n v="4"/>
    <n v="629.34"/>
    <s v="986 Main St"/>
    <x v="4"/>
    <x v="1"/>
    <s v="TRK66218053"/>
    <n v="4"/>
    <s v="WINTER15"/>
    <x v="0"/>
    <n v="2517.36"/>
  </r>
  <r>
    <s v="ORD200121"/>
    <x v="115"/>
    <s v="C89822"/>
    <x v="6"/>
    <n v="1"/>
    <n v="410.78"/>
    <s v="673 Main St"/>
    <x v="4"/>
    <x v="1"/>
    <s v="TRK24138598"/>
    <n v="1"/>
    <s v="FREESHIP"/>
    <x v="0"/>
    <n v="410.78"/>
  </r>
  <r>
    <s v="ORD200122"/>
    <x v="116"/>
    <s v="C96787"/>
    <x v="5"/>
    <n v="2"/>
    <n v="533.02"/>
    <s v="588 Main St"/>
    <x v="3"/>
    <x v="0"/>
    <s v="TRK30422853"/>
    <n v="2"/>
    <s v="NO COUPON CODE"/>
    <x v="3"/>
    <n v="1066.04"/>
  </r>
  <r>
    <s v="ORD200123"/>
    <x v="117"/>
    <s v="C86064"/>
    <x v="6"/>
    <n v="3"/>
    <n v="278.04000000000002"/>
    <s v="727 Main St"/>
    <x v="1"/>
    <x v="3"/>
    <s v="TRK62182901"/>
    <n v="5"/>
    <s v="NO COUPON CODE"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s v="NO COUPON CODE"/>
    <x v="4"/>
    <n v="1135.1600000000001"/>
  </r>
  <r>
    <s v="ORD200125"/>
    <x v="119"/>
    <s v="C91099"/>
    <x v="1"/>
    <n v="2"/>
    <n v="512.65"/>
    <s v="758 Main St"/>
    <x v="2"/>
    <x v="0"/>
    <s v="TRK81846174"/>
    <n v="5"/>
    <s v="SAVE10"/>
    <x v="2"/>
    <n v="1025.3"/>
  </r>
  <r>
    <s v="ORD200126"/>
    <x v="120"/>
    <s v="C55606"/>
    <x v="6"/>
    <n v="4"/>
    <n v="275.5"/>
    <s v="353 Main St"/>
    <x v="3"/>
    <x v="0"/>
    <s v="TRK68250319"/>
    <n v="8"/>
    <s v="FREESHIP"/>
    <x v="4"/>
    <n v="1102"/>
  </r>
  <r>
    <s v="ORD200127"/>
    <x v="121"/>
    <s v="C71486"/>
    <x v="6"/>
    <n v="3"/>
    <n v="469.32"/>
    <s v="365 Main St"/>
    <x v="0"/>
    <x v="0"/>
    <s v="TRK73929833"/>
    <n v="3"/>
    <s v="NO COUPON CODE"/>
    <x v="4"/>
    <n v="1407.96"/>
  </r>
  <r>
    <s v="ORD200128"/>
    <x v="96"/>
    <s v="C86408"/>
    <x v="2"/>
    <n v="4"/>
    <n v="21.07"/>
    <s v="244 Main St"/>
    <x v="3"/>
    <x v="3"/>
    <s v="TRK41432648"/>
    <n v="4"/>
    <s v="FREESHIP"/>
    <x v="4"/>
    <n v="84.28"/>
  </r>
  <r>
    <s v="ORD200129"/>
    <x v="122"/>
    <s v="C52751"/>
    <x v="5"/>
    <n v="4"/>
    <n v="263.93"/>
    <s v="427 Main St"/>
    <x v="0"/>
    <x v="0"/>
    <s v="TRK72481234"/>
    <n v="4"/>
    <s v="FREESHIP"/>
    <x v="3"/>
    <n v="1055.72"/>
  </r>
  <r>
    <s v="ORD200130"/>
    <x v="123"/>
    <s v="C29059"/>
    <x v="6"/>
    <n v="3"/>
    <n v="501.3"/>
    <s v="513 Main St"/>
    <x v="1"/>
    <x v="1"/>
    <s v="TRK88360704"/>
    <n v="3"/>
    <s v="WINTER15"/>
    <x v="3"/>
    <n v="1503.9"/>
  </r>
  <r>
    <s v="ORD200131"/>
    <x v="124"/>
    <s v="C72862"/>
    <x v="2"/>
    <n v="1"/>
    <n v="84.8"/>
    <s v="606 Main St"/>
    <x v="3"/>
    <x v="4"/>
    <s v="TRK51648833"/>
    <n v="5"/>
    <s v="NO COUPON CODE"/>
    <x v="0"/>
    <n v="84.8"/>
  </r>
  <r>
    <s v="ORD200132"/>
    <x v="125"/>
    <s v="C96257"/>
    <x v="2"/>
    <n v="4"/>
    <n v="450.75"/>
    <s v="583 Main St"/>
    <x v="2"/>
    <x v="0"/>
    <s v="TRK13137948"/>
    <n v="6"/>
    <s v="WINTER15"/>
    <x v="2"/>
    <n v="1803"/>
  </r>
  <r>
    <s v="ORD200133"/>
    <x v="126"/>
    <s v="C87432"/>
    <x v="3"/>
    <n v="4"/>
    <n v="302.05"/>
    <s v="636 Main St"/>
    <x v="0"/>
    <x v="1"/>
    <s v="TRK68969625"/>
    <n v="6"/>
    <s v="SAVE10"/>
    <x v="4"/>
    <n v="1208.2"/>
  </r>
  <r>
    <s v="ORD200134"/>
    <x v="127"/>
    <s v="C16253"/>
    <x v="5"/>
    <n v="2"/>
    <n v="199.7"/>
    <s v="583 Main St"/>
    <x v="4"/>
    <x v="4"/>
    <s v="TRK17354894"/>
    <n v="4"/>
    <s v="NO COUPON CODE"/>
    <x v="2"/>
    <n v="399.4"/>
  </r>
  <r>
    <s v="ORD200135"/>
    <x v="128"/>
    <s v="C79909"/>
    <x v="4"/>
    <n v="2"/>
    <n v="68.81"/>
    <s v="642 Main St"/>
    <x v="3"/>
    <x v="0"/>
    <s v="TRK86742257"/>
    <n v="5"/>
    <s v="SAVE10"/>
    <x v="1"/>
    <n v="137.62"/>
  </r>
  <r>
    <s v="ORD200136"/>
    <x v="129"/>
    <s v="C73370"/>
    <x v="5"/>
    <n v="1"/>
    <n v="44.35"/>
    <s v="595 Main St"/>
    <x v="3"/>
    <x v="1"/>
    <s v="TRK67820278"/>
    <n v="1"/>
    <s v="SAVE10"/>
    <x v="0"/>
    <n v="44.35"/>
  </r>
  <r>
    <s v="ORD200137"/>
    <x v="130"/>
    <s v="C50682"/>
    <x v="0"/>
    <n v="2"/>
    <n v="250.98"/>
    <s v="598 Main St"/>
    <x v="2"/>
    <x v="3"/>
    <s v="TRK12242337"/>
    <n v="5"/>
    <s v="NO COUPON CODE"/>
    <x v="4"/>
    <n v="501.96"/>
  </r>
  <r>
    <s v="ORD200138"/>
    <x v="131"/>
    <s v="C21905"/>
    <x v="2"/>
    <n v="1"/>
    <n v="298.06"/>
    <s v="478 Main St"/>
    <x v="0"/>
    <x v="4"/>
    <s v="TRK31863841"/>
    <n v="3"/>
    <s v="WINTER15"/>
    <x v="4"/>
    <n v="298.06"/>
  </r>
  <r>
    <s v="ORD200139"/>
    <x v="132"/>
    <s v="C61440"/>
    <x v="1"/>
    <n v="1"/>
    <n v="583.9"/>
    <s v="714 Main St"/>
    <x v="4"/>
    <x v="2"/>
    <s v="TRK33114521"/>
    <n v="1"/>
    <s v="NO COUPON CODE"/>
    <x v="2"/>
    <n v="583.9"/>
  </r>
  <r>
    <s v="ORD200140"/>
    <x v="133"/>
    <s v="C33110"/>
    <x v="3"/>
    <n v="3"/>
    <n v="528.14"/>
    <s v="388 Main St"/>
    <x v="1"/>
    <x v="3"/>
    <s v="TRK38624225"/>
    <n v="3"/>
    <s v="FREESHIP"/>
    <x v="2"/>
    <n v="1584.42"/>
  </r>
  <r>
    <s v="ORD200141"/>
    <x v="134"/>
    <s v="C80004"/>
    <x v="4"/>
    <n v="3"/>
    <n v="684.14"/>
    <s v="151 Main St"/>
    <x v="4"/>
    <x v="1"/>
    <s v="TRK66230753"/>
    <n v="3"/>
    <s v="WINTER15"/>
    <x v="0"/>
    <n v="2052.42"/>
  </r>
  <r>
    <s v="ORD200142"/>
    <x v="135"/>
    <s v="C86374"/>
    <x v="6"/>
    <n v="5"/>
    <n v="272.77"/>
    <s v="573 Main St"/>
    <x v="4"/>
    <x v="4"/>
    <s v="TRK79451491"/>
    <n v="7"/>
    <s v="WINTER15"/>
    <x v="2"/>
    <n v="1363.85"/>
  </r>
  <r>
    <s v="ORD200143"/>
    <x v="136"/>
    <s v="C66521"/>
    <x v="3"/>
    <n v="4"/>
    <n v="400.07"/>
    <s v="933 Main St"/>
    <x v="1"/>
    <x v="0"/>
    <s v="TRK34654244"/>
    <n v="5"/>
    <s v="NO COUPON CODE"/>
    <x v="1"/>
    <n v="1600.28"/>
  </r>
  <r>
    <s v="ORD200144"/>
    <x v="128"/>
    <s v="C63365"/>
    <x v="6"/>
    <n v="5"/>
    <n v="219.78"/>
    <s v="895 Main St"/>
    <x v="2"/>
    <x v="4"/>
    <s v="TRK80100887"/>
    <n v="8"/>
    <s v="NO COUPON CODE"/>
    <x v="3"/>
    <n v="1098.9000000000001"/>
  </r>
  <r>
    <s v="ORD200145"/>
    <x v="17"/>
    <s v="C85929"/>
    <x v="4"/>
    <n v="3"/>
    <n v="146.91"/>
    <s v="798 Main St"/>
    <x v="2"/>
    <x v="3"/>
    <s v="TRK29318610"/>
    <n v="6"/>
    <s v="FREESHIP"/>
    <x v="4"/>
    <n v="440.73"/>
  </r>
  <r>
    <s v="ORD200146"/>
    <x v="137"/>
    <s v="C84645"/>
    <x v="2"/>
    <n v="2"/>
    <n v="411.49"/>
    <s v="404 Main St"/>
    <x v="2"/>
    <x v="2"/>
    <s v="TRK68893369"/>
    <n v="4"/>
    <s v="NO COUPON CODE"/>
    <x v="0"/>
    <n v="822.98"/>
  </r>
  <r>
    <s v="ORD200147"/>
    <x v="138"/>
    <s v="C46316"/>
    <x v="5"/>
    <n v="2"/>
    <n v="465.18"/>
    <s v="893 Main St"/>
    <x v="2"/>
    <x v="1"/>
    <s v="TRK16196000"/>
    <n v="2"/>
    <s v="SAVE10"/>
    <x v="4"/>
    <n v="930.36"/>
  </r>
  <r>
    <s v="ORD200148"/>
    <x v="139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x v="140"/>
    <s v="C39671"/>
    <x v="5"/>
    <n v="1"/>
    <n v="217.56"/>
    <s v="174 Main St"/>
    <x v="0"/>
    <x v="3"/>
    <s v="TRK47153818"/>
    <n v="3"/>
    <s v="NO COUPON CODE"/>
    <x v="3"/>
    <n v="217.56"/>
  </r>
  <r>
    <s v="ORD200150"/>
    <x v="141"/>
    <s v="C25503"/>
    <x v="1"/>
    <n v="2"/>
    <n v="105.57"/>
    <s v="981 Main St"/>
    <x v="0"/>
    <x v="2"/>
    <s v="TRK29878837"/>
    <n v="5"/>
    <s v="WINTER15"/>
    <x v="4"/>
    <n v="211.14"/>
  </r>
  <r>
    <s v="ORD200151"/>
    <x v="142"/>
    <s v="C32960"/>
    <x v="4"/>
    <n v="5"/>
    <n v="444.76"/>
    <s v="947 Main St"/>
    <x v="0"/>
    <x v="2"/>
    <s v="TRK91226500"/>
    <n v="7"/>
    <s v="NO COUPON CODE"/>
    <x v="2"/>
    <n v="2223.8000000000002"/>
  </r>
  <r>
    <s v="ORD200152"/>
    <x v="143"/>
    <s v="C77736"/>
    <x v="3"/>
    <n v="2"/>
    <n v="399.04"/>
    <s v="659 Main St"/>
    <x v="4"/>
    <x v="1"/>
    <s v="TRK90329250"/>
    <n v="3"/>
    <s v="FREESHIP"/>
    <x v="1"/>
    <n v="798.08"/>
  </r>
  <r>
    <s v="ORD200153"/>
    <x v="144"/>
    <s v="C71570"/>
    <x v="3"/>
    <n v="4"/>
    <n v="534.48"/>
    <s v="437 Main St"/>
    <x v="1"/>
    <x v="2"/>
    <s v="TRK95992269"/>
    <n v="9"/>
    <s v="WINTER15"/>
    <x v="0"/>
    <n v="2137.92"/>
  </r>
  <r>
    <s v="ORD200154"/>
    <x v="145"/>
    <s v="C73587"/>
    <x v="1"/>
    <n v="4"/>
    <n v="408.21"/>
    <s v="727 Main St"/>
    <x v="2"/>
    <x v="4"/>
    <s v="TRK13955543"/>
    <n v="9"/>
    <s v="NO COUPON CODE"/>
    <x v="0"/>
    <n v="1632.84"/>
  </r>
  <r>
    <s v="ORD200155"/>
    <x v="146"/>
    <s v="C62740"/>
    <x v="1"/>
    <n v="1"/>
    <n v="424.4"/>
    <s v="446 Main St"/>
    <x v="1"/>
    <x v="0"/>
    <s v="TRK20706408"/>
    <n v="6"/>
    <s v="WINTER15"/>
    <x v="1"/>
    <n v="424.4"/>
  </r>
  <r>
    <s v="ORD200156"/>
    <x v="147"/>
    <s v="C58808"/>
    <x v="3"/>
    <n v="2"/>
    <n v="269.83"/>
    <s v="651 Main St"/>
    <x v="1"/>
    <x v="3"/>
    <s v="TRK24451893"/>
    <n v="4"/>
    <s v="SAVE10"/>
    <x v="2"/>
    <n v="539.66"/>
  </r>
  <r>
    <s v="ORD200157"/>
    <x v="148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x v="149"/>
    <s v="C23334"/>
    <x v="2"/>
    <n v="1"/>
    <n v="331.06"/>
    <s v="737 Main St"/>
    <x v="2"/>
    <x v="4"/>
    <s v="TRK46335144"/>
    <n v="5"/>
    <s v="WINTER15"/>
    <x v="0"/>
    <n v="331.06"/>
  </r>
  <r>
    <s v="ORD200159"/>
    <x v="15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x v="96"/>
    <s v="C38669"/>
    <x v="0"/>
    <n v="4"/>
    <n v="101.32"/>
    <s v="240 Main St"/>
    <x v="4"/>
    <x v="4"/>
    <s v="TRK81738254"/>
    <n v="7"/>
    <s v="NO COUPON CODE"/>
    <x v="1"/>
    <n v="405.28"/>
  </r>
  <r>
    <s v="ORD200161"/>
    <x v="151"/>
    <s v="C35091"/>
    <x v="0"/>
    <n v="1"/>
    <n v="211.14"/>
    <s v="513 Main St"/>
    <x v="2"/>
    <x v="1"/>
    <s v="TRK53784452"/>
    <n v="1"/>
    <s v="SAVE10"/>
    <x v="3"/>
    <n v="211.14"/>
  </r>
  <r>
    <s v="ORD200162"/>
    <x v="152"/>
    <s v="C82313"/>
    <x v="3"/>
    <n v="3"/>
    <n v="65.86"/>
    <s v="917 Main St"/>
    <x v="1"/>
    <x v="4"/>
    <s v="TRK79854624"/>
    <n v="8"/>
    <s v="WINTER15"/>
    <x v="4"/>
    <n v="197.58"/>
  </r>
  <r>
    <s v="ORD200163"/>
    <x v="53"/>
    <s v="C99589"/>
    <x v="2"/>
    <n v="1"/>
    <n v="641.39"/>
    <s v="277 Main St"/>
    <x v="1"/>
    <x v="1"/>
    <s v="TRK16695001"/>
    <n v="1"/>
    <s v="NO COUPON CODE"/>
    <x v="1"/>
    <n v="641.39"/>
  </r>
  <r>
    <s v="ORD200164"/>
    <x v="153"/>
    <s v="C70566"/>
    <x v="6"/>
    <n v="5"/>
    <n v="536.58000000000004"/>
    <s v="667 Main St"/>
    <x v="3"/>
    <x v="4"/>
    <s v="TRK49673411"/>
    <n v="5"/>
    <s v="SAVE10"/>
    <x v="4"/>
    <n v="2682.9"/>
  </r>
  <r>
    <s v="ORD200165"/>
    <x v="154"/>
    <s v="C60355"/>
    <x v="0"/>
    <n v="2"/>
    <n v="500.29"/>
    <s v="226 Main St"/>
    <x v="1"/>
    <x v="2"/>
    <s v="TRK30155194"/>
    <n v="7"/>
    <s v="WINTER15"/>
    <x v="4"/>
    <n v="1000.58"/>
  </r>
  <r>
    <s v="ORD200166"/>
    <x v="155"/>
    <s v="C28889"/>
    <x v="3"/>
    <n v="3"/>
    <n v="86.29"/>
    <s v="565 Main St"/>
    <x v="4"/>
    <x v="3"/>
    <s v="TRK23791726"/>
    <n v="6"/>
    <s v="WINTER15"/>
    <x v="0"/>
    <n v="258.87"/>
  </r>
  <r>
    <s v="ORD200167"/>
    <x v="156"/>
    <s v="C88304"/>
    <x v="3"/>
    <n v="2"/>
    <n v="384.14"/>
    <s v="219 Main St"/>
    <x v="1"/>
    <x v="2"/>
    <s v="TRK44268941"/>
    <n v="2"/>
    <s v="WINTER15"/>
    <x v="2"/>
    <n v="768.28"/>
  </r>
  <r>
    <s v="ORD200168"/>
    <x v="157"/>
    <s v="C49517"/>
    <x v="4"/>
    <n v="1"/>
    <n v="594.96"/>
    <s v="878 Main St"/>
    <x v="4"/>
    <x v="2"/>
    <s v="TRK78551375"/>
    <n v="6"/>
    <s v="NO COUPON CODE"/>
    <x v="3"/>
    <n v="594.96"/>
  </r>
  <r>
    <s v="ORD200169"/>
    <x v="158"/>
    <s v="C35785"/>
    <x v="4"/>
    <n v="1"/>
    <n v="427.82"/>
    <s v="732 Main St"/>
    <x v="1"/>
    <x v="3"/>
    <s v="TRK78923089"/>
    <n v="2"/>
    <s v="WINTER15"/>
    <x v="2"/>
    <n v="427.82"/>
  </r>
  <r>
    <s v="ORD200170"/>
    <x v="159"/>
    <s v="C80223"/>
    <x v="6"/>
    <n v="4"/>
    <n v="662.94"/>
    <s v="535 Main St"/>
    <x v="4"/>
    <x v="1"/>
    <s v="TRK68632951"/>
    <n v="8"/>
    <s v="SAVE10"/>
    <x v="0"/>
    <n v="2651.76"/>
  </r>
  <r>
    <s v="ORD200171"/>
    <x v="160"/>
    <s v="C20448"/>
    <x v="2"/>
    <n v="2"/>
    <n v="148.22"/>
    <s v="336 Main St"/>
    <x v="2"/>
    <x v="3"/>
    <s v="TRK67379895"/>
    <n v="7"/>
    <s v="WINTER15"/>
    <x v="0"/>
    <n v="296.44"/>
  </r>
  <r>
    <s v="ORD200172"/>
    <x v="161"/>
    <s v="C34134"/>
    <x v="4"/>
    <n v="1"/>
    <n v="254.12"/>
    <s v="365 Main St"/>
    <x v="1"/>
    <x v="3"/>
    <s v="TRK43074303"/>
    <n v="1"/>
    <s v="WINTER15"/>
    <x v="2"/>
    <n v="254.12"/>
  </r>
  <r>
    <s v="ORD200173"/>
    <x v="59"/>
    <s v="C95901"/>
    <x v="1"/>
    <n v="3"/>
    <n v="664.46"/>
    <s v="806 Main St"/>
    <x v="1"/>
    <x v="3"/>
    <s v="TRK56989066"/>
    <n v="4"/>
    <s v="FREESHIP"/>
    <x v="4"/>
    <n v="1993.38"/>
  </r>
  <r>
    <s v="ORD200174"/>
    <x v="162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x v="163"/>
    <s v="C78170"/>
    <x v="3"/>
    <n v="5"/>
    <n v="68.34"/>
    <s v="332 Main St"/>
    <x v="0"/>
    <x v="4"/>
    <s v="TRK71410605"/>
    <n v="6"/>
    <s v="WINTER15"/>
    <x v="1"/>
    <n v="341.7"/>
  </r>
  <r>
    <s v="ORD200176"/>
    <x v="164"/>
    <s v="C80151"/>
    <x v="2"/>
    <n v="4"/>
    <n v="430.83"/>
    <s v="553 Main St"/>
    <x v="3"/>
    <x v="4"/>
    <s v="TRK88251529"/>
    <n v="8"/>
    <s v="WINTER15"/>
    <x v="1"/>
    <n v="1723.32"/>
  </r>
  <r>
    <s v="ORD200177"/>
    <x v="165"/>
    <s v="C55632"/>
    <x v="3"/>
    <n v="5"/>
    <n v="431.69"/>
    <s v="354 Main St"/>
    <x v="2"/>
    <x v="4"/>
    <s v="TRK13003066"/>
    <n v="10"/>
    <s v="NO COUPON CODE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x v="167"/>
    <s v="C27401"/>
    <x v="5"/>
    <n v="3"/>
    <n v="539.91"/>
    <s v="500 Main St"/>
    <x v="2"/>
    <x v="3"/>
    <s v="TRK14332053"/>
    <n v="8"/>
    <s v="NO COUPON CODE"/>
    <x v="2"/>
    <n v="1619.73"/>
  </r>
  <r>
    <s v="ORD200180"/>
    <x v="168"/>
    <s v="C87216"/>
    <x v="2"/>
    <n v="5"/>
    <n v="316.07"/>
    <s v="970 Main St"/>
    <x v="4"/>
    <x v="2"/>
    <s v="TRK18713727"/>
    <n v="10"/>
    <s v="NO COUPON CODE"/>
    <x v="4"/>
    <n v="1580.35"/>
  </r>
  <r>
    <s v="ORD200181"/>
    <x v="169"/>
    <s v="C38966"/>
    <x v="4"/>
    <n v="5"/>
    <n v="404.39"/>
    <s v="247 Main St"/>
    <x v="1"/>
    <x v="0"/>
    <s v="TRK17205146"/>
    <n v="10"/>
    <s v="NO COUPON CODE"/>
    <x v="1"/>
    <n v="2021.95"/>
  </r>
  <r>
    <s v="ORD200182"/>
    <x v="170"/>
    <s v="C16612"/>
    <x v="6"/>
    <n v="1"/>
    <n v="600.54"/>
    <s v="596 Main St"/>
    <x v="0"/>
    <x v="4"/>
    <s v="TRK96188223"/>
    <n v="4"/>
    <s v="WINTER15"/>
    <x v="4"/>
    <n v="600.54"/>
  </r>
  <r>
    <s v="ORD200183"/>
    <x v="171"/>
    <s v="C39246"/>
    <x v="0"/>
    <n v="5"/>
    <n v="186.28"/>
    <s v="258 Main St"/>
    <x v="0"/>
    <x v="3"/>
    <s v="TRK16658182"/>
    <n v="8"/>
    <s v="SAVE10"/>
    <x v="2"/>
    <n v="931.4"/>
  </r>
  <r>
    <s v="ORD200184"/>
    <x v="172"/>
    <s v="C65180"/>
    <x v="2"/>
    <n v="4"/>
    <n v="214.54"/>
    <s v="231 Main St"/>
    <x v="3"/>
    <x v="1"/>
    <s v="TRK39255469"/>
    <n v="7"/>
    <s v="NO COUPON CODE"/>
    <x v="1"/>
    <n v="858.16"/>
  </r>
  <r>
    <s v="ORD200185"/>
    <x v="61"/>
    <s v="C46877"/>
    <x v="5"/>
    <n v="1"/>
    <n v="210.7"/>
    <s v="572 Main St"/>
    <x v="1"/>
    <x v="0"/>
    <s v="TRK96935978"/>
    <n v="2"/>
    <s v="WINTER15"/>
    <x v="1"/>
    <n v="210.7"/>
  </r>
  <r>
    <s v="ORD200186"/>
    <x v="173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x v="174"/>
    <s v="C21227"/>
    <x v="3"/>
    <n v="1"/>
    <n v="590.87"/>
    <s v="689 Main St"/>
    <x v="3"/>
    <x v="2"/>
    <s v="TRK79129657"/>
    <n v="6"/>
    <s v="FREESHIP"/>
    <x v="1"/>
    <n v="590.87"/>
  </r>
  <r>
    <s v="ORD200188"/>
    <x v="175"/>
    <s v="C97715"/>
    <x v="3"/>
    <n v="2"/>
    <n v="363.91"/>
    <s v="927 Main St"/>
    <x v="3"/>
    <x v="0"/>
    <s v="TRK19515949"/>
    <n v="2"/>
    <s v="FREESHIP"/>
    <x v="1"/>
    <n v="727.82"/>
  </r>
  <r>
    <s v="ORD200189"/>
    <x v="176"/>
    <s v="C48939"/>
    <x v="4"/>
    <n v="5"/>
    <n v="429.45"/>
    <s v="597 Main St"/>
    <x v="3"/>
    <x v="1"/>
    <s v="TRK62786764"/>
    <n v="5"/>
    <s v="WINTER15"/>
    <x v="2"/>
    <n v="2147.25"/>
  </r>
  <r>
    <s v="ORD200190"/>
    <x v="169"/>
    <s v="C35483"/>
    <x v="4"/>
    <n v="3"/>
    <n v="223.7"/>
    <s v="725 Main St"/>
    <x v="4"/>
    <x v="2"/>
    <s v="TRK79638203"/>
    <n v="3"/>
    <s v="SAVE10"/>
    <x v="2"/>
    <n v="671.09999999999991"/>
  </r>
  <r>
    <s v="ORD200191"/>
    <x v="177"/>
    <s v="C51494"/>
    <x v="5"/>
    <n v="2"/>
    <n v="488.87"/>
    <s v="505 Main St"/>
    <x v="1"/>
    <x v="1"/>
    <s v="TRK58520306"/>
    <n v="4"/>
    <s v="FREESHIP"/>
    <x v="4"/>
    <n v="977.74"/>
  </r>
  <r>
    <s v="ORD200192"/>
    <x v="178"/>
    <s v="C58410"/>
    <x v="6"/>
    <n v="1"/>
    <n v="645.46"/>
    <s v="151 Main St"/>
    <x v="3"/>
    <x v="1"/>
    <s v="TRK19749672"/>
    <n v="5"/>
    <s v="SAVE10"/>
    <x v="4"/>
    <n v="645.46"/>
  </r>
  <r>
    <s v="ORD200193"/>
    <x v="179"/>
    <s v="C11644"/>
    <x v="4"/>
    <n v="1"/>
    <n v="46.66"/>
    <s v="429 Main St"/>
    <x v="4"/>
    <x v="1"/>
    <s v="TRK81320339"/>
    <n v="6"/>
    <s v="NO COUPON CODE"/>
    <x v="4"/>
    <n v="46.66"/>
  </r>
  <r>
    <s v="ORD200194"/>
    <x v="180"/>
    <s v="C53501"/>
    <x v="0"/>
    <n v="1"/>
    <n v="249.57"/>
    <s v="899 Main St"/>
    <x v="4"/>
    <x v="0"/>
    <s v="TRK90144892"/>
    <n v="3"/>
    <s v="FREESHIP"/>
    <x v="4"/>
    <n v="249.57"/>
  </r>
  <r>
    <s v="ORD200195"/>
    <x v="181"/>
    <s v="C63619"/>
    <x v="3"/>
    <n v="3"/>
    <n v="619.21"/>
    <s v="801 Main St"/>
    <x v="0"/>
    <x v="1"/>
    <s v="TRK65385674"/>
    <n v="6"/>
    <s v="NO COUPON CODE"/>
    <x v="2"/>
    <n v="1857.63"/>
  </r>
  <r>
    <s v="ORD200196"/>
    <x v="182"/>
    <s v="C40882"/>
    <x v="6"/>
    <n v="4"/>
    <n v="217.13"/>
    <s v="719 Main St"/>
    <x v="4"/>
    <x v="3"/>
    <s v="TRK64165503"/>
    <n v="8"/>
    <s v="WINTER15"/>
    <x v="2"/>
    <n v="868.52"/>
  </r>
  <r>
    <s v="ORD200197"/>
    <x v="183"/>
    <s v="C80135"/>
    <x v="5"/>
    <n v="5"/>
    <n v="221.51"/>
    <s v="723 Main St"/>
    <x v="4"/>
    <x v="2"/>
    <s v="TRK95222269"/>
    <n v="5"/>
    <s v="WINTER15"/>
    <x v="1"/>
    <n v="1107.55"/>
  </r>
  <r>
    <s v="ORD200198"/>
    <x v="184"/>
    <s v="C37594"/>
    <x v="5"/>
    <n v="4"/>
    <n v="340.3"/>
    <s v="926 Main St"/>
    <x v="4"/>
    <x v="1"/>
    <s v="TRK94405162"/>
    <n v="8"/>
    <s v="SAVE10"/>
    <x v="1"/>
    <n v="1361.2"/>
  </r>
  <r>
    <s v="ORD200199"/>
    <x v="185"/>
    <s v="C87524"/>
    <x v="1"/>
    <n v="1"/>
    <n v="625"/>
    <s v="358 Main St"/>
    <x v="1"/>
    <x v="2"/>
    <s v="TRK21114341"/>
    <n v="5"/>
    <s v="WINTER15"/>
    <x v="4"/>
    <n v="625"/>
  </r>
  <r>
    <s v="ORD200200"/>
    <x v="186"/>
    <s v="C97681"/>
    <x v="2"/>
    <n v="5"/>
    <n v="433.26"/>
    <s v="895 Main St"/>
    <x v="2"/>
    <x v="3"/>
    <s v="TRK37531040"/>
    <n v="9"/>
    <s v="SAVE10"/>
    <x v="4"/>
    <n v="2166.3000000000002"/>
  </r>
  <r>
    <s v="ORD200201"/>
    <x v="187"/>
    <s v="C10126"/>
    <x v="0"/>
    <n v="2"/>
    <n v="674.9"/>
    <s v="146 Main St"/>
    <x v="1"/>
    <x v="0"/>
    <s v="TRK75607531"/>
    <n v="4"/>
    <s v="SAVE10"/>
    <x v="3"/>
    <n v="1349.8"/>
  </r>
  <r>
    <s v="ORD200202"/>
    <x v="188"/>
    <s v="C36938"/>
    <x v="0"/>
    <n v="3"/>
    <n v="253.98"/>
    <s v="636 Main St"/>
    <x v="2"/>
    <x v="1"/>
    <s v="TRK52522904"/>
    <n v="3"/>
    <s v="FREESHIP"/>
    <x v="2"/>
    <n v="761.93999999999994"/>
  </r>
  <r>
    <s v="ORD200203"/>
    <x v="94"/>
    <s v="C99173"/>
    <x v="4"/>
    <n v="3"/>
    <n v="356.84"/>
    <s v="172 Main St"/>
    <x v="1"/>
    <x v="0"/>
    <s v="TRK89849342"/>
    <n v="5"/>
    <s v="SAVE10"/>
    <x v="0"/>
    <n v="1070.52"/>
  </r>
  <r>
    <s v="ORD200204"/>
    <x v="189"/>
    <s v="C99775"/>
    <x v="5"/>
    <n v="4"/>
    <n v="413.71"/>
    <s v="478 Main St"/>
    <x v="3"/>
    <x v="1"/>
    <s v="TRK21638425"/>
    <n v="9"/>
    <s v="FREESHIP"/>
    <x v="3"/>
    <n v="1654.84"/>
  </r>
  <r>
    <s v="ORD200205"/>
    <x v="190"/>
    <s v="C19266"/>
    <x v="6"/>
    <n v="3"/>
    <n v="147.38999999999999"/>
    <s v="609 Main St"/>
    <x v="0"/>
    <x v="2"/>
    <s v="TRK58357269"/>
    <n v="3"/>
    <s v="NO COUPON CODE"/>
    <x v="2"/>
    <n v="442.17"/>
  </r>
  <r>
    <s v="ORD200206"/>
    <x v="162"/>
    <s v="C31072"/>
    <x v="5"/>
    <n v="4"/>
    <n v="229.1"/>
    <s v="729 Main St"/>
    <x v="3"/>
    <x v="2"/>
    <s v="TRK77172975"/>
    <n v="8"/>
    <s v="WINTER15"/>
    <x v="2"/>
    <n v="916.4"/>
  </r>
  <r>
    <s v="ORD200207"/>
    <x v="191"/>
    <s v="C54595"/>
    <x v="1"/>
    <n v="1"/>
    <n v="121.96"/>
    <s v="999 Main St"/>
    <x v="0"/>
    <x v="3"/>
    <s v="TRK44416659"/>
    <n v="3"/>
    <s v="NO COUPON CODE"/>
    <x v="4"/>
    <n v="121.96"/>
  </r>
  <r>
    <s v="ORD200208"/>
    <x v="192"/>
    <s v="C87777"/>
    <x v="6"/>
    <n v="2"/>
    <n v="408.32"/>
    <s v="597 Main St"/>
    <x v="1"/>
    <x v="0"/>
    <s v="TRK29003608"/>
    <n v="3"/>
    <s v="FREESHIP"/>
    <x v="3"/>
    <n v="816.64"/>
  </r>
  <r>
    <s v="ORD200209"/>
    <x v="193"/>
    <s v="C35854"/>
    <x v="2"/>
    <n v="5"/>
    <n v="187.97"/>
    <s v="706 Main St"/>
    <x v="4"/>
    <x v="2"/>
    <s v="TRK30615168"/>
    <n v="9"/>
    <s v="SAVE10"/>
    <x v="4"/>
    <n v="939.85"/>
  </r>
  <r>
    <s v="ORD200210"/>
    <x v="194"/>
    <s v="C93821"/>
    <x v="3"/>
    <n v="3"/>
    <n v="358.48"/>
    <s v="513 Main St"/>
    <x v="3"/>
    <x v="3"/>
    <s v="TRK10658539"/>
    <n v="7"/>
    <s v="FREESHIP"/>
    <x v="3"/>
    <n v="1075.44"/>
  </r>
  <r>
    <s v="ORD200211"/>
    <x v="195"/>
    <s v="C54390"/>
    <x v="4"/>
    <n v="3"/>
    <n v="193.58"/>
    <s v="185 Main St"/>
    <x v="3"/>
    <x v="4"/>
    <s v="TRK83853742"/>
    <n v="7"/>
    <s v="FREESHIP"/>
    <x v="2"/>
    <n v="580.74"/>
  </r>
  <r>
    <s v="ORD200212"/>
    <x v="196"/>
    <s v="C53215"/>
    <x v="0"/>
    <n v="1"/>
    <n v="265.38"/>
    <s v="367 Main St"/>
    <x v="2"/>
    <x v="1"/>
    <s v="TRK34751835"/>
    <n v="6"/>
    <s v="WINTER15"/>
    <x v="2"/>
    <n v="265.38"/>
  </r>
  <r>
    <s v="ORD200213"/>
    <x v="197"/>
    <s v="C71122"/>
    <x v="5"/>
    <n v="1"/>
    <n v="634.4"/>
    <s v="317 Main St"/>
    <x v="4"/>
    <x v="1"/>
    <s v="TRK54757882"/>
    <n v="6"/>
    <s v="SAVE10"/>
    <x v="2"/>
    <n v="634.4"/>
  </r>
  <r>
    <s v="ORD200214"/>
    <x v="58"/>
    <s v="C29483"/>
    <x v="6"/>
    <n v="4"/>
    <n v="305.72000000000003"/>
    <s v="673 Main St"/>
    <x v="1"/>
    <x v="3"/>
    <s v="TRK89423603"/>
    <n v="5"/>
    <s v="NO COUPON CODE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x v="198"/>
    <s v="C70492"/>
    <x v="0"/>
    <n v="4"/>
    <n v="496"/>
    <s v="811 Main St"/>
    <x v="1"/>
    <x v="1"/>
    <s v="TRK84625405"/>
    <n v="8"/>
    <s v="WINTER15"/>
    <x v="4"/>
    <n v="1984"/>
  </r>
  <r>
    <s v="ORD200217"/>
    <x v="199"/>
    <s v="C61549"/>
    <x v="6"/>
    <n v="4"/>
    <n v="321.51"/>
    <s v="908 Main St"/>
    <x v="4"/>
    <x v="2"/>
    <s v="TRK65596914"/>
    <n v="9"/>
    <s v="NO COUPON CODE"/>
    <x v="4"/>
    <n v="1286.04"/>
  </r>
  <r>
    <s v="ORD200218"/>
    <x v="200"/>
    <s v="C11665"/>
    <x v="2"/>
    <n v="3"/>
    <n v="112.46"/>
    <s v="882 Main St"/>
    <x v="3"/>
    <x v="0"/>
    <s v="TRK10993930"/>
    <n v="6"/>
    <s v="SAVE10"/>
    <x v="0"/>
    <n v="337.38"/>
  </r>
  <r>
    <s v="ORD200219"/>
    <x v="201"/>
    <s v="C48946"/>
    <x v="5"/>
    <n v="5"/>
    <n v="61.97"/>
    <s v="457 Main St"/>
    <x v="4"/>
    <x v="3"/>
    <s v="TRK99387220"/>
    <n v="6"/>
    <s v="SAVE10"/>
    <x v="2"/>
    <n v="309.85000000000002"/>
  </r>
  <r>
    <s v="ORD200220"/>
    <x v="202"/>
    <s v="C79506"/>
    <x v="5"/>
    <n v="2"/>
    <n v="373.17"/>
    <s v="497 Main St"/>
    <x v="2"/>
    <x v="4"/>
    <s v="TRK95188748"/>
    <n v="6"/>
    <s v="SAVE10"/>
    <x v="1"/>
    <n v="746.34"/>
  </r>
  <r>
    <s v="ORD200221"/>
    <x v="203"/>
    <s v="C93473"/>
    <x v="2"/>
    <n v="5"/>
    <n v="639.37"/>
    <s v="552 Main St"/>
    <x v="0"/>
    <x v="4"/>
    <s v="TRK50003989"/>
    <n v="6"/>
    <s v="SAVE10"/>
    <x v="4"/>
    <n v="3196.85"/>
  </r>
  <r>
    <s v="ORD200222"/>
    <x v="204"/>
    <s v="C43124"/>
    <x v="3"/>
    <n v="4"/>
    <n v="693.36"/>
    <s v="931 Main St"/>
    <x v="1"/>
    <x v="0"/>
    <s v="TRK17293348"/>
    <n v="8"/>
    <s v="NO COUPON CODE"/>
    <x v="0"/>
    <n v="2773.44"/>
  </r>
  <r>
    <s v="ORD200223"/>
    <x v="57"/>
    <s v="C22783"/>
    <x v="1"/>
    <n v="4"/>
    <n v="692.91"/>
    <s v="673 Main St"/>
    <x v="2"/>
    <x v="4"/>
    <s v="TRK55009149"/>
    <n v="9"/>
    <s v="SAVE10"/>
    <x v="0"/>
    <n v="2771.64"/>
  </r>
  <r>
    <s v="ORD200224"/>
    <x v="205"/>
    <s v="C18567"/>
    <x v="4"/>
    <n v="4"/>
    <n v="91.46"/>
    <s v="507 Main St"/>
    <x v="4"/>
    <x v="1"/>
    <s v="TRK17554673"/>
    <n v="9"/>
    <s v="SAVE10"/>
    <x v="1"/>
    <n v="365.84"/>
  </r>
  <r>
    <s v="ORD200225"/>
    <x v="206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s v="NO COUPON CODE"/>
    <x v="0"/>
    <n v="1764.15"/>
  </r>
  <r>
    <s v="ORD200227"/>
    <x v="208"/>
    <s v="C93220"/>
    <x v="0"/>
    <n v="2"/>
    <n v="365.17"/>
    <s v="353 Main St"/>
    <x v="1"/>
    <x v="1"/>
    <s v="TRK89023251"/>
    <n v="4"/>
    <s v="FREESHIP"/>
    <x v="3"/>
    <n v="730.34"/>
  </r>
  <r>
    <s v="ORD200228"/>
    <x v="209"/>
    <s v="C57867"/>
    <x v="3"/>
    <n v="4"/>
    <n v="385.92"/>
    <s v="579 Main St"/>
    <x v="2"/>
    <x v="1"/>
    <s v="TRK92055007"/>
    <n v="8"/>
    <s v="NO COUPON CODE"/>
    <x v="0"/>
    <n v="1543.68"/>
  </r>
  <r>
    <s v="ORD200229"/>
    <x v="210"/>
    <s v="C62622"/>
    <x v="2"/>
    <n v="1"/>
    <n v="562.61"/>
    <s v="762 Main St"/>
    <x v="2"/>
    <x v="3"/>
    <s v="TRK70997648"/>
    <n v="3"/>
    <s v="WINTER15"/>
    <x v="3"/>
    <n v="562.61"/>
  </r>
  <r>
    <s v="ORD200230"/>
    <x v="211"/>
    <s v="C94595"/>
    <x v="6"/>
    <n v="4"/>
    <n v="61.91"/>
    <s v="948 Main St"/>
    <x v="3"/>
    <x v="3"/>
    <s v="TRK24497305"/>
    <n v="6"/>
    <s v="WINTER15"/>
    <x v="2"/>
    <n v="247.64"/>
  </r>
  <r>
    <s v="ORD200231"/>
    <x v="212"/>
    <s v="C30955"/>
    <x v="1"/>
    <n v="4"/>
    <n v="41.9"/>
    <s v="327 Main St"/>
    <x v="3"/>
    <x v="4"/>
    <s v="TRK46898848"/>
    <n v="9"/>
    <s v="FREESHIP"/>
    <x v="0"/>
    <n v="167.6"/>
  </r>
  <r>
    <s v="ORD200232"/>
    <x v="213"/>
    <s v="C20731"/>
    <x v="4"/>
    <n v="4"/>
    <n v="444.44"/>
    <s v="610 Main St"/>
    <x v="0"/>
    <x v="1"/>
    <s v="TRK75568437"/>
    <n v="8"/>
    <s v="WINTER15"/>
    <x v="4"/>
    <n v="1777.76"/>
  </r>
  <r>
    <s v="ORD200233"/>
    <x v="214"/>
    <s v="C30168"/>
    <x v="1"/>
    <n v="3"/>
    <n v="311.33"/>
    <s v="146 Main St"/>
    <x v="4"/>
    <x v="1"/>
    <s v="TRK73699939"/>
    <n v="3"/>
    <s v="WINTER15"/>
    <x v="0"/>
    <n v="933.99"/>
  </r>
  <r>
    <s v="ORD200234"/>
    <x v="130"/>
    <s v="C79842"/>
    <x v="4"/>
    <n v="4"/>
    <n v="236.41"/>
    <s v="337 Main St"/>
    <x v="0"/>
    <x v="4"/>
    <s v="TRK26957950"/>
    <n v="7"/>
    <s v="SAVE10"/>
    <x v="4"/>
    <n v="945.64"/>
  </r>
  <r>
    <s v="ORD200235"/>
    <x v="215"/>
    <s v="C32854"/>
    <x v="6"/>
    <n v="1"/>
    <n v="65.45"/>
    <s v="815 Main St"/>
    <x v="4"/>
    <x v="4"/>
    <s v="TRK30009218"/>
    <n v="2"/>
    <s v="WINTER15"/>
    <x v="4"/>
    <n v="65.45"/>
  </r>
  <r>
    <s v="ORD200236"/>
    <x v="107"/>
    <s v="C14847"/>
    <x v="0"/>
    <n v="1"/>
    <n v="318.81"/>
    <s v="562 Main St"/>
    <x v="0"/>
    <x v="4"/>
    <s v="TRK39663243"/>
    <n v="3"/>
    <s v="WINTER15"/>
    <x v="2"/>
    <n v="318.81"/>
  </r>
  <r>
    <s v="ORD200237"/>
    <x v="216"/>
    <s v="C88645"/>
    <x v="0"/>
    <n v="3"/>
    <n v="583.72"/>
    <s v="783 Main St"/>
    <x v="2"/>
    <x v="0"/>
    <s v="TRK74097570"/>
    <n v="5"/>
    <s v="FREESHIP"/>
    <x v="3"/>
    <n v="1751.16"/>
  </r>
  <r>
    <s v="ORD200238"/>
    <x v="217"/>
    <s v="C66149"/>
    <x v="6"/>
    <n v="4"/>
    <n v="384.32"/>
    <s v="770 Main St"/>
    <x v="2"/>
    <x v="4"/>
    <s v="TRK76307307"/>
    <n v="6"/>
    <s v="WINTER15"/>
    <x v="4"/>
    <n v="1537.28"/>
  </r>
  <r>
    <s v="ORD200239"/>
    <x v="218"/>
    <s v="C20256"/>
    <x v="2"/>
    <n v="3"/>
    <n v="538.74"/>
    <s v="456 Main St"/>
    <x v="1"/>
    <x v="0"/>
    <s v="TRK71127943"/>
    <n v="6"/>
    <s v="FREESHIP"/>
    <x v="2"/>
    <n v="1616.22"/>
  </r>
  <r>
    <s v="ORD200240"/>
    <x v="219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s v="SAVE10"/>
    <x v="2"/>
    <n v="3078.35"/>
  </r>
  <r>
    <s v="ORD200242"/>
    <x v="221"/>
    <s v="C94921"/>
    <x v="4"/>
    <n v="2"/>
    <n v="219.1"/>
    <s v="134 Main St"/>
    <x v="1"/>
    <x v="4"/>
    <s v="TRK97794327"/>
    <n v="4"/>
    <s v="SAVE10"/>
    <x v="1"/>
    <n v="438.2"/>
  </r>
  <r>
    <s v="ORD200243"/>
    <x v="222"/>
    <s v="C54725"/>
    <x v="3"/>
    <n v="2"/>
    <n v="144.66"/>
    <s v="506 Main St"/>
    <x v="1"/>
    <x v="1"/>
    <s v="TRK30601940"/>
    <n v="7"/>
    <s v="FREESHIP"/>
    <x v="4"/>
    <n v="289.32"/>
  </r>
  <r>
    <s v="ORD200244"/>
    <x v="223"/>
    <s v="C98096"/>
    <x v="6"/>
    <n v="2"/>
    <n v="317.77"/>
    <s v="838 Main St"/>
    <x v="0"/>
    <x v="1"/>
    <s v="TRK51518631"/>
    <n v="4"/>
    <s v="WINTER15"/>
    <x v="3"/>
    <n v="635.54"/>
  </r>
  <r>
    <s v="ORD200245"/>
    <x v="224"/>
    <s v="C12667"/>
    <x v="5"/>
    <n v="1"/>
    <n v="223.3"/>
    <s v="306 Main St"/>
    <x v="1"/>
    <x v="2"/>
    <s v="TRK25390491"/>
    <n v="1"/>
    <s v="NO COUPON CODE"/>
    <x v="3"/>
    <n v="223.3"/>
  </r>
  <r>
    <s v="ORD200246"/>
    <x v="225"/>
    <s v="C55354"/>
    <x v="6"/>
    <n v="2"/>
    <n v="342.11"/>
    <s v="164 Main St"/>
    <x v="3"/>
    <x v="0"/>
    <s v="TRK15439493"/>
    <n v="2"/>
    <s v="WINTER15"/>
    <x v="0"/>
    <n v="684.22"/>
  </r>
  <r>
    <s v="ORD200247"/>
    <x v="145"/>
    <s v="C14600"/>
    <x v="4"/>
    <n v="2"/>
    <n v="220.9"/>
    <s v="785 Main St"/>
    <x v="3"/>
    <x v="0"/>
    <s v="TRK84984764"/>
    <n v="4"/>
    <s v="NO COUPON CODE"/>
    <x v="2"/>
    <n v="441.8"/>
  </r>
  <r>
    <s v="ORD200248"/>
    <x v="226"/>
    <s v="C97187"/>
    <x v="5"/>
    <n v="1"/>
    <n v="670.54"/>
    <s v="471 Main St"/>
    <x v="4"/>
    <x v="0"/>
    <s v="TRK62283713"/>
    <n v="6"/>
    <s v="FREESHIP"/>
    <x v="1"/>
    <n v="670.54"/>
  </r>
  <r>
    <s v="ORD200249"/>
    <x v="227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x v="228"/>
    <s v="C93379"/>
    <x v="6"/>
    <n v="3"/>
    <n v="42.95"/>
    <s v="318 Main St"/>
    <x v="3"/>
    <x v="2"/>
    <s v="TRK67954150"/>
    <n v="8"/>
    <s v="SAVE10"/>
    <x v="2"/>
    <n v="128.85"/>
  </r>
  <r>
    <s v="ORD200251"/>
    <x v="229"/>
    <s v="C93175"/>
    <x v="0"/>
    <n v="4"/>
    <n v="14.69"/>
    <s v="814 Main St"/>
    <x v="4"/>
    <x v="1"/>
    <s v="TRK32995144"/>
    <n v="9"/>
    <s v="NO COUPON CODE"/>
    <x v="2"/>
    <n v="58.76"/>
  </r>
  <r>
    <s v="ORD200252"/>
    <x v="28"/>
    <s v="C19648"/>
    <x v="1"/>
    <n v="4"/>
    <n v="668.36"/>
    <s v="821 Main St"/>
    <x v="3"/>
    <x v="1"/>
    <s v="TRK51297879"/>
    <n v="5"/>
    <s v="FREESHIP"/>
    <x v="3"/>
    <n v="2673.44"/>
  </r>
  <r>
    <s v="ORD200253"/>
    <x v="230"/>
    <s v="C14891"/>
    <x v="3"/>
    <n v="4"/>
    <n v="413.74"/>
    <s v="743 Main St"/>
    <x v="3"/>
    <x v="2"/>
    <s v="TRK79471534"/>
    <n v="7"/>
    <s v="FREESHIP"/>
    <x v="0"/>
    <n v="1654.96"/>
  </r>
  <r>
    <s v="ORD200254"/>
    <x v="231"/>
    <s v="C10866"/>
    <x v="0"/>
    <n v="3"/>
    <n v="263.19"/>
    <s v="770 Main St"/>
    <x v="1"/>
    <x v="3"/>
    <s v="TRK34809583"/>
    <n v="5"/>
    <s v="NO COUPON CODE"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x v="233"/>
    <s v="C94323"/>
    <x v="3"/>
    <n v="5"/>
    <n v="75.81"/>
    <s v="463 Main St"/>
    <x v="3"/>
    <x v="2"/>
    <s v="TRK22663277"/>
    <n v="10"/>
    <s v="WINTER15"/>
    <x v="0"/>
    <n v="379.05"/>
  </r>
  <r>
    <s v="ORD200257"/>
    <x v="234"/>
    <s v="C89732"/>
    <x v="1"/>
    <n v="1"/>
    <n v="406.22"/>
    <s v="712 Main St"/>
    <x v="2"/>
    <x v="1"/>
    <s v="TRK41059233"/>
    <n v="5"/>
    <s v="SAVE10"/>
    <x v="1"/>
    <n v="406.22"/>
  </r>
  <r>
    <s v="ORD200258"/>
    <x v="235"/>
    <s v="C87764"/>
    <x v="2"/>
    <n v="2"/>
    <n v="103.41"/>
    <s v="294 Main St"/>
    <x v="1"/>
    <x v="0"/>
    <s v="TRK94082469"/>
    <n v="2"/>
    <s v="FREESHIP"/>
    <x v="1"/>
    <n v="206.82"/>
  </r>
  <r>
    <s v="ORD200259"/>
    <x v="236"/>
    <s v="C20977"/>
    <x v="3"/>
    <n v="4"/>
    <n v="435.12"/>
    <s v="636 Main St"/>
    <x v="2"/>
    <x v="3"/>
    <s v="TRK54991561"/>
    <n v="9"/>
    <s v="SAVE10"/>
    <x v="0"/>
    <n v="1740.48"/>
  </r>
  <r>
    <s v="ORD200260"/>
    <x v="209"/>
    <s v="C12245"/>
    <x v="0"/>
    <n v="2"/>
    <n v="407.79"/>
    <s v="153 Main St"/>
    <x v="0"/>
    <x v="0"/>
    <s v="TRK22000463"/>
    <n v="3"/>
    <s v="NO COUPON CODE"/>
    <x v="4"/>
    <n v="815.58"/>
  </r>
  <r>
    <s v="ORD200261"/>
    <x v="237"/>
    <s v="C68976"/>
    <x v="1"/>
    <n v="5"/>
    <n v="173.65"/>
    <s v="460 Main St"/>
    <x v="3"/>
    <x v="3"/>
    <s v="TRK25491356"/>
    <n v="9"/>
    <s v="SAVE10"/>
    <x v="2"/>
    <n v="868.25"/>
  </r>
  <r>
    <s v="ORD200262"/>
    <x v="238"/>
    <s v="C69476"/>
    <x v="1"/>
    <n v="4"/>
    <n v="249.07"/>
    <s v="642 Main St"/>
    <x v="2"/>
    <x v="2"/>
    <s v="TRK65869386"/>
    <n v="5"/>
    <s v="WINTER15"/>
    <x v="1"/>
    <n v="996.28"/>
  </r>
  <r>
    <s v="ORD200263"/>
    <x v="239"/>
    <s v="C71040"/>
    <x v="1"/>
    <n v="4"/>
    <n v="434.85"/>
    <s v="250 Main St"/>
    <x v="2"/>
    <x v="4"/>
    <s v="TRK41397604"/>
    <n v="4"/>
    <s v="WINTER15"/>
    <x v="4"/>
    <n v="1739.4"/>
  </r>
  <r>
    <s v="ORD200264"/>
    <x v="240"/>
    <s v="C71035"/>
    <x v="2"/>
    <n v="1"/>
    <n v="436.77"/>
    <s v="977 Main St"/>
    <x v="4"/>
    <x v="2"/>
    <s v="TRK19599578"/>
    <n v="5"/>
    <s v="FREESHIP"/>
    <x v="4"/>
    <n v="436.77"/>
  </r>
  <r>
    <s v="ORD200265"/>
    <x v="241"/>
    <s v="C20752"/>
    <x v="4"/>
    <n v="1"/>
    <n v="572.13"/>
    <s v="150 Main St"/>
    <x v="0"/>
    <x v="1"/>
    <s v="TRK22298450"/>
    <n v="4"/>
    <s v="SAVE10"/>
    <x v="4"/>
    <n v="572.13"/>
  </r>
  <r>
    <s v="ORD200266"/>
    <x v="18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x v="242"/>
    <s v="C84480"/>
    <x v="3"/>
    <n v="5"/>
    <n v="468.51"/>
    <s v="803 Main St"/>
    <x v="0"/>
    <x v="3"/>
    <s v="TRK62361867"/>
    <n v="9"/>
    <s v="NO COUPON CODE"/>
    <x v="3"/>
    <n v="2342.5500000000002"/>
  </r>
  <r>
    <s v="ORD200268"/>
    <x v="178"/>
    <s v="C37032"/>
    <x v="1"/>
    <n v="2"/>
    <n v="423.88"/>
    <s v="655 Main St"/>
    <x v="0"/>
    <x v="3"/>
    <s v="TRK48639226"/>
    <n v="7"/>
    <s v="SAVE10"/>
    <x v="1"/>
    <n v="847.76"/>
  </r>
  <r>
    <s v="ORD200269"/>
    <x v="97"/>
    <s v="C48942"/>
    <x v="2"/>
    <n v="4"/>
    <n v="663.67"/>
    <s v="129 Main St"/>
    <x v="2"/>
    <x v="4"/>
    <s v="TRK29355120"/>
    <n v="7"/>
    <s v="FREESHIP"/>
    <x v="4"/>
    <n v="2654.68"/>
  </r>
  <r>
    <s v="ORD200270"/>
    <x v="243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x v="244"/>
    <s v="C29758"/>
    <x v="3"/>
    <n v="2"/>
    <n v="399.32"/>
    <s v="119 Main St"/>
    <x v="1"/>
    <x v="4"/>
    <s v="TRK12990043"/>
    <n v="6"/>
    <s v="WINTER15"/>
    <x v="0"/>
    <n v="798.64"/>
  </r>
  <r>
    <s v="ORD200273"/>
    <x v="245"/>
    <s v="C11849"/>
    <x v="2"/>
    <n v="2"/>
    <n v="238.25"/>
    <s v="974 Main St"/>
    <x v="1"/>
    <x v="1"/>
    <s v="TRK91195261"/>
    <n v="7"/>
    <s v="FREESHIP"/>
    <x v="2"/>
    <n v="476.5"/>
  </r>
  <r>
    <s v="ORD200274"/>
    <x v="246"/>
    <s v="C50967"/>
    <x v="1"/>
    <n v="2"/>
    <n v="182.4"/>
    <s v="884 Main St"/>
    <x v="3"/>
    <x v="1"/>
    <s v="TRK65300814"/>
    <n v="5"/>
    <s v="SAVE10"/>
    <x v="1"/>
    <n v="364.8"/>
  </r>
  <r>
    <s v="ORD200275"/>
    <x v="247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x v="82"/>
    <s v="C11210"/>
    <x v="3"/>
    <n v="5"/>
    <n v="90.92"/>
    <s v="910 Main St"/>
    <x v="2"/>
    <x v="3"/>
    <s v="TRK44929965"/>
    <n v="9"/>
    <s v="SAVE10"/>
    <x v="3"/>
    <n v="454.6"/>
  </r>
  <r>
    <s v="ORD200278"/>
    <x v="249"/>
    <s v="C46015"/>
    <x v="5"/>
    <n v="5"/>
    <n v="362.46"/>
    <s v="299 Main St"/>
    <x v="4"/>
    <x v="3"/>
    <s v="TRK46598430"/>
    <n v="6"/>
    <s v="FREESHIP"/>
    <x v="0"/>
    <n v="1812.3"/>
  </r>
  <r>
    <s v="ORD200279"/>
    <x v="250"/>
    <s v="C69167"/>
    <x v="3"/>
    <n v="3"/>
    <n v="55.01"/>
    <s v="263 Main St"/>
    <x v="1"/>
    <x v="4"/>
    <s v="TRK12425655"/>
    <n v="7"/>
    <s v="WINTER15"/>
    <x v="2"/>
    <n v="165.03"/>
  </r>
  <r>
    <s v="ORD200280"/>
    <x v="14"/>
    <s v="C55388"/>
    <x v="2"/>
    <n v="3"/>
    <n v="404.62"/>
    <s v="740 Main St"/>
    <x v="3"/>
    <x v="3"/>
    <s v="TRK75741001"/>
    <n v="6"/>
    <s v="FREESHIP"/>
    <x v="0"/>
    <n v="1213.8599999999999"/>
  </r>
  <r>
    <s v="ORD200281"/>
    <x v="152"/>
    <s v="C87181"/>
    <x v="6"/>
    <n v="4"/>
    <n v="654.79"/>
    <s v="195 Main St"/>
    <x v="4"/>
    <x v="4"/>
    <s v="TRK60093390"/>
    <n v="9"/>
    <s v="NO COUPON CODE"/>
    <x v="1"/>
    <n v="2619.16"/>
  </r>
  <r>
    <s v="ORD200282"/>
    <x v="251"/>
    <s v="C30411"/>
    <x v="4"/>
    <n v="4"/>
    <n v="637.79"/>
    <s v="375 Main St"/>
    <x v="3"/>
    <x v="1"/>
    <s v="TRK71810536"/>
    <n v="9"/>
    <s v="FREESHIP"/>
    <x v="4"/>
    <n v="2551.16"/>
  </r>
  <r>
    <s v="ORD200283"/>
    <x v="252"/>
    <s v="C39638"/>
    <x v="5"/>
    <n v="4"/>
    <n v="540.33000000000004"/>
    <s v="990 Main St"/>
    <x v="4"/>
    <x v="0"/>
    <s v="TRK69745608"/>
    <n v="6"/>
    <s v="NO COUPON CODE"/>
    <x v="4"/>
    <n v="2161.3200000000002"/>
  </r>
  <r>
    <s v="ORD200284"/>
    <x v="223"/>
    <s v="C27203"/>
    <x v="5"/>
    <n v="5"/>
    <n v="208.17"/>
    <s v="516 Main St"/>
    <x v="2"/>
    <x v="2"/>
    <s v="TRK22023906"/>
    <n v="6"/>
    <s v="SAVE10"/>
    <x v="3"/>
    <n v="1040.8499999999999"/>
  </r>
  <r>
    <s v="ORD200285"/>
    <x v="69"/>
    <s v="C67583"/>
    <x v="1"/>
    <n v="1"/>
    <n v="338.31"/>
    <s v="974 Main St"/>
    <x v="1"/>
    <x v="3"/>
    <s v="TRK93281700"/>
    <n v="3"/>
    <s v="NO COUPON CODE"/>
    <x v="4"/>
    <n v="338.31"/>
  </r>
  <r>
    <s v="ORD200286"/>
    <x v="253"/>
    <s v="C70554"/>
    <x v="0"/>
    <n v="3"/>
    <n v="139.44999999999999"/>
    <s v="187 Main St"/>
    <x v="3"/>
    <x v="2"/>
    <s v="TRK61086952"/>
    <n v="8"/>
    <s v="WINTER15"/>
    <x v="4"/>
    <n v="418.35"/>
  </r>
  <r>
    <s v="ORD200287"/>
    <x v="254"/>
    <s v="C70437"/>
    <x v="3"/>
    <n v="4"/>
    <n v="655.17999999999995"/>
    <s v="630 Main St"/>
    <x v="1"/>
    <x v="0"/>
    <s v="TRK26628830"/>
    <n v="5"/>
    <s v="NO COUPON CODE"/>
    <x v="3"/>
    <n v="2620.7199999999998"/>
  </r>
  <r>
    <s v="ORD200288"/>
    <x v="255"/>
    <s v="C97643"/>
    <x v="5"/>
    <n v="4"/>
    <n v="512.75"/>
    <s v="537 Main St"/>
    <x v="0"/>
    <x v="2"/>
    <s v="TRK60831391"/>
    <n v="8"/>
    <s v="WINTER15"/>
    <x v="4"/>
    <n v="2051"/>
  </r>
  <r>
    <s v="ORD200289"/>
    <x v="256"/>
    <s v="C17136"/>
    <x v="3"/>
    <n v="4"/>
    <n v="160.49"/>
    <s v="333 Main St"/>
    <x v="2"/>
    <x v="0"/>
    <s v="TRK55362541"/>
    <n v="8"/>
    <s v="WINTER15"/>
    <x v="1"/>
    <n v="641.96"/>
  </r>
  <r>
    <s v="ORD200290"/>
    <x v="257"/>
    <s v="C24901"/>
    <x v="3"/>
    <n v="3"/>
    <n v="99.9"/>
    <s v="258 Main St"/>
    <x v="4"/>
    <x v="3"/>
    <s v="TRK14029489"/>
    <n v="8"/>
    <s v="FREESHIP"/>
    <x v="3"/>
    <n v="299.7"/>
  </r>
  <r>
    <s v="ORD200291"/>
    <x v="258"/>
    <s v="C61521"/>
    <x v="1"/>
    <n v="2"/>
    <n v="345.01"/>
    <s v="670 Main St"/>
    <x v="2"/>
    <x v="3"/>
    <s v="TRK93676567"/>
    <n v="6"/>
    <s v="FREESHIP"/>
    <x v="4"/>
    <n v="690.02"/>
  </r>
  <r>
    <s v="ORD200292"/>
    <x v="259"/>
    <s v="C39639"/>
    <x v="0"/>
    <n v="1"/>
    <n v="65.95"/>
    <s v="185 Main St"/>
    <x v="2"/>
    <x v="3"/>
    <s v="TRK31042152"/>
    <n v="5"/>
    <s v="NO COUPON CODE"/>
    <x v="3"/>
    <n v="65.95"/>
  </r>
  <r>
    <s v="ORD200293"/>
    <x v="223"/>
    <s v="C33220"/>
    <x v="2"/>
    <n v="4"/>
    <n v="463.04"/>
    <s v="564 Main St"/>
    <x v="3"/>
    <x v="2"/>
    <s v="TRK40450219"/>
    <n v="9"/>
    <s v="NO COUPON CODE"/>
    <x v="0"/>
    <n v="1852.16"/>
  </r>
  <r>
    <s v="ORD200294"/>
    <x v="26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x v="261"/>
    <s v="C49009"/>
    <x v="4"/>
    <n v="5"/>
    <n v="107.48"/>
    <s v="278 Main St"/>
    <x v="0"/>
    <x v="1"/>
    <s v="TRK46285799"/>
    <n v="9"/>
    <s v="FREESHIP"/>
    <x v="2"/>
    <n v="537.4"/>
  </r>
  <r>
    <s v="ORD200296"/>
    <x v="83"/>
    <s v="C48453"/>
    <x v="6"/>
    <n v="5"/>
    <n v="638.79999999999995"/>
    <s v="434 Main St"/>
    <x v="0"/>
    <x v="1"/>
    <s v="TRK52110494"/>
    <n v="10"/>
    <s v="WINTER15"/>
    <x v="1"/>
    <n v="3194"/>
  </r>
  <r>
    <s v="ORD200297"/>
    <x v="262"/>
    <s v="C68078"/>
    <x v="6"/>
    <n v="2"/>
    <n v="493.88"/>
    <s v="252 Main St"/>
    <x v="2"/>
    <x v="2"/>
    <s v="TRK64862812"/>
    <n v="7"/>
    <s v="SAVE10"/>
    <x v="0"/>
    <n v="987.76"/>
  </r>
  <r>
    <s v="ORD200298"/>
    <x v="263"/>
    <s v="C19402"/>
    <x v="4"/>
    <n v="4"/>
    <n v="301.17"/>
    <s v="267 Main St"/>
    <x v="1"/>
    <x v="1"/>
    <s v="TRK97825212"/>
    <n v="6"/>
    <s v="NO COUPON CODE"/>
    <x v="2"/>
    <n v="1204.68"/>
  </r>
  <r>
    <s v="ORD200299"/>
    <x v="264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x v="67"/>
    <s v="C31105"/>
    <x v="3"/>
    <n v="1"/>
    <n v="583.99"/>
    <s v="726 Main St"/>
    <x v="4"/>
    <x v="1"/>
    <s v="TRK40149095"/>
    <n v="2"/>
    <s v="SAVE10"/>
    <x v="2"/>
    <n v="583.99"/>
  </r>
  <r>
    <s v="ORD200302"/>
    <x v="220"/>
    <s v="C29432"/>
    <x v="3"/>
    <n v="3"/>
    <n v="468.74"/>
    <s v="121 Main St"/>
    <x v="4"/>
    <x v="4"/>
    <s v="TRK44142517"/>
    <n v="4"/>
    <s v="FREESHIP"/>
    <x v="0"/>
    <n v="1406.22"/>
  </r>
  <r>
    <s v="ORD200303"/>
    <x v="34"/>
    <s v="C48531"/>
    <x v="2"/>
    <n v="1"/>
    <n v="30.54"/>
    <s v="368 Main St"/>
    <x v="0"/>
    <x v="2"/>
    <s v="TRK95462192"/>
    <n v="1"/>
    <s v="NO COUPON CODE"/>
    <x v="4"/>
    <n v="30.54"/>
  </r>
  <r>
    <s v="ORD200304"/>
    <x v="266"/>
    <s v="C86762"/>
    <x v="0"/>
    <n v="5"/>
    <n v="408.73"/>
    <s v="326 Main St"/>
    <x v="3"/>
    <x v="3"/>
    <s v="TRK75686292"/>
    <n v="10"/>
    <s v="FREESHIP"/>
    <x v="0"/>
    <n v="2043.65"/>
  </r>
  <r>
    <s v="ORD200305"/>
    <x v="97"/>
    <s v="C63822"/>
    <x v="5"/>
    <n v="4"/>
    <n v="126.89"/>
    <s v="235 Main St"/>
    <x v="4"/>
    <x v="4"/>
    <s v="TRK59353216"/>
    <n v="9"/>
    <s v="FREESHIP"/>
    <x v="0"/>
    <n v="507.56"/>
  </r>
  <r>
    <s v="ORD200306"/>
    <x v="267"/>
    <s v="C70495"/>
    <x v="4"/>
    <n v="2"/>
    <n v="57.07"/>
    <s v="238 Main St"/>
    <x v="0"/>
    <x v="2"/>
    <s v="TRK65511225"/>
    <n v="3"/>
    <s v="SAVE10"/>
    <x v="0"/>
    <n v="114.14"/>
  </r>
  <r>
    <s v="ORD200307"/>
    <x v="268"/>
    <s v="C92407"/>
    <x v="5"/>
    <n v="3"/>
    <n v="557.41"/>
    <s v="135 Main St"/>
    <x v="1"/>
    <x v="3"/>
    <s v="TRK11755610"/>
    <n v="4"/>
    <s v="NO COUPON CODE"/>
    <x v="2"/>
    <n v="1672.23"/>
  </r>
  <r>
    <s v="ORD200308"/>
    <x v="66"/>
    <s v="C75888"/>
    <x v="4"/>
    <n v="3"/>
    <n v="448.9"/>
    <s v="790 Main St"/>
    <x v="0"/>
    <x v="2"/>
    <s v="TRK98467398"/>
    <n v="7"/>
    <s v="SAVE10"/>
    <x v="0"/>
    <n v="1346.7"/>
  </r>
  <r>
    <s v="ORD200309"/>
    <x v="269"/>
    <s v="C63153"/>
    <x v="3"/>
    <n v="4"/>
    <n v="549.76"/>
    <s v="625 Main St"/>
    <x v="0"/>
    <x v="3"/>
    <s v="TRK38033305"/>
    <n v="4"/>
    <s v="FREESHIP"/>
    <x v="3"/>
    <n v="2199.04"/>
  </r>
  <r>
    <s v="ORD200310"/>
    <x v="270"/>
    <s v="C85863"/>
    <x v="4"/>
    <n v="3"/>
    <n v="132.47999999999999"/>
    <s v="968 Main St"/>
    <x v="1"/>
    <x v="0"/>
    <s v="TRK16094218"/>
    <n v="4"/>
    <s v="NO COUPON CODE"/>
    <x v="1"/>
    <n v="397.43999999999988"/>
  </r>
  <r>
    <s v="ORD200311"/>
    <x v="271"/>
    <s v="C71698"/>
    <x v="6"/>
    <n v="5"/>
    <n v="489.37"/>
    <s v="274 Main St"/>
    <x v="1"/>
    <x v="2"/>
    <s v="TRK34786818"/>
    <n v="8"/>
    <s v="NO COUPON CODE"/>
    <x v="0"/>
    <n v="2446.85"/>
  </r>
  <r>
    <s v="ORD200312"/>
    <x v="272"/>
    <s v="C35397"/>
    <x v="4"/>
    <n v="5"/>
    <n v="66.31"/>
    <s v="579 Main St"/>
    <x v="3"/>
    <x v="4"/>
    <s v="TRK64742535"/>
    <n v="7"/>
    <s v="FREESHIP"/>
    <x v="1"/>
    <n v="331.55"/>
  </r>
  <r>
    <s v="ORD200313"/>
    <x v="273"/>
    <s v="C67687"/>
    <x v="3"/>
    <n v="2"/>
    <n v="434.3"/>
    <s v="978 Main St"/>
    <x v="4"/>
    <x v="3"/>
    <s v="TRK22838735"/>
    <n v="7"/>
    <s v="SAVE10"/>
    <x v="0"/>
    <n v="868.6"/>
  </r>
  <r>
    <s v="ORD200314"/>
    <x v="274"/>
    <s v="C29931"/>
    <x v="6"/>
    <n v="4"/>
    <n v="153.09"/>
    <s v="540 Main St"/>
    <x v="1"/>
    <x v="3"/>
    <s v="TRK48712417"/>
    <n v="4"/>
    <s v="FREESHIP"/>
    <x v="1"/>
    <n v="612.36"/>
  </r>
  <r>
    <s v="ORD200315"/>
    <x v="275"/>
    <s v="C59139"/>
    <x v="2"/>
    <n v="5"/>
    <n v="91.67"/>
    <s v="301 Main St"/>
    <x v="1"/>
    <x v="1"/>
    <s v="TRK45507090"/>
    <n v="9"/>
    <s v="FREESHIP"/>
    <x v="2"/>
    <n v="458.35"/>
  </r>
  <r>
    <s v="ORD200316"/>
    <x v="276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s v="NO COUPON CODE"/>
    <x v="0"/>
    <n v="279.89999999999998"/>
  </r>
  <r>
    <s v="ORD200318"/>
    <x v="277"/>
    <s v="C93375"/>
    <x v="3"/>
    <n v="3"/>
    <n v="148.72"/>
    <s v="317 Main St"/>
    <x v="0"/>
    <x v="1"/>
    <s v="TRK95706967"/>
    <n v="7"/>
    <s v="SAVE10"/>
    <x v="4"/>
    <n v="446.16"/>
  </r>
  <r>
    <s v="ORD200319"/>
    <x v="278"/>
    <s v="C53049"/>
    <x v="5"/>
    <n v="2"/>
    <n v="563.05999999999995"/>
    <s v="413 Main St"/>
    <x v="4"/>
    <x v="2"/>
    <s v="TRK48974907"/>
    <n v="6"/>
    <s v="NO COUPON CODE"/>
    <x v="0"/>
    <n v="1126.1199999999999"/>
  </r>
  <r>
    <s v="ORD200320"/>
    <x v="36"/>
    <s v="C55590"/>
    <x v="4"/>
    <n v="1"/>
    <n v="625.51"/>
    <s v="772 Main St"/>
    <x v="2"/>
    <x v="0"/>
    <s v="TRK48792951"/>
    <n v="1"/>
    <s v="FREESHIP"/>
    <x v="3"/>
    <n v="625.51"/>
  </r>
  <r>
    <s v="ORD200321"/>
    <x v="279"/>
    <s v="C47086"/>
    <x v="1"/>
    <n v="4"/>
    <n v="152.29"/>
    <s v="135 Main St"/>
    <x v="0"/>
    <x v="1"/>
    <s v="TRK44194358"/>
    <n v="6"/>
    <s v="WINTER15"/>
    <x v="4"/>
    <n v="609.16"/>
  </r>
  <r>
    <s v="ORD200322"/>
    <x v="280"/>
    <s v="C48646"/>
    <x v="1"/>
    <n v="5"/>
    <n v="231.82"/>
    <s v="339 Main St"/>
    <x v="0"/>
    <x v="3"/>
    <s v="TRK18233748"/>
    <n v="6"/>
    <s v="SAVE1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s v="NO COUPON CODE"/>
    <x v="1"/>
    <n v="212.79"/>
  </r>
  <r>
    <s v="ORD200325"/>
    <x v="282"/>
    <s v="C53545"/>
    <x v="6"/>
    <n v="3"/>
    <n v="361.39"/>
    <s v="665 Main St"/>
    <x v="2"/>
    <x v="0"/>
    <s v="TRK61123177"/>
    <n v="8"/>
    <s v="NO COUPON CODE"/>
    <x v="1"/>
    <n v="1084.17"/>
  </r>
  <r>
    <s v="ORD200326"/>
    <x v="283"/>
    <s v="C65986"/>
    <x v="5"/>
    <n v="5"/>
    <n v="670.48"/>
    <s v="273 Main St"/>
    <x v="3"/>
    <x v="2"/>
    <s v="TRK98353867"/>
    <n v="5"/>
    <s v="SAVE10"/>
    <x v="3"/>
    <n v="3352.4"/>
  </r>
  <r>
    <s v="ORD200327"/>
    <x v="284"/>
    <s v="C17302"/>
    <x v="1"/>
    <n v="1"/>
    <n v="359.99"/>
    <s v="385 Main St"/>
    <x v="3"/>
    <x v="1"/>
    <s v="TRK43940016"/>
    <n v="5"/>
    <s v="SAVE10"/>
    <x v="2"/>
    <n v="359.99"/>
  </r>
  <r>
    <s v="ORD200328"/>
    <x v="285"/>
    <s v="C18404"/>
    <x v="2"/>
    <n v="5"/>
    <n v="674.04"/>
    <s v="546 Main St"/>
    <x v="1"/>
    <x v="1"/>
    <s v="TRK89401624"/>
    <n v="7"/>
    <s v="SAVE10"/>
    <x v="4"/>
    <n v="3370.2"/>
  </r>
  <r>
    <s v="ORD200329"/>
    <x v="286"/>
    <s v="C88371"/>
    <x v="3"/>
    <n v="4"/>
    <n v="283.16000000000003"/>
    <s v="306 Main St"/>
    <x v="2"/>
    <x v="0"/>
    <s v="TRK63224811"/>
    <n v="6"/>
    <s v="NO COUPON CODE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x v="288"/>
    <s v="C78724"/>
    <x v="4"/>
    <n v="3"/>
    <n v="422.13"/>
    <s v="187 Main St"/>
    <x v="1"/>
    <x v="3"/>
    <s v="TRK25703134"/>
    <n v="7"/>
    <s v="SAVE10"/>
    <x v="3"/>
    <n v="1266.3900000000001"/>
  </r>
  <r>
    <s v="ORD200332"/>
    <x v="289"/>
    <s v="C26163"/>
    <x v="6"/>
    <n v="5"/>
    <n v="125.02"/>
    <s v="607 Main St"/>
    <x v="0"/>
    <x v="4"/>
    <s v="TRK67499316"/>
    <n v="9"/>
    <s v="SAVE10"/>
    <x v="4"/>
    <n v="625.1"/>
  </r>
  <r>
    <s v="ORD200333"/>
    <x v="162"/>
    <s v="C87124"/>
    <x v="1"/>
    <n v="1"/>
    <n v="198.51"/>
    <s v="818 Main St"/>
    <x v="2"/>
    <x v="2"/>
    <s v="TRK52086740"/>
    <n v="5"/>
    <s v="WINTER15"/>
    <x v="0"/>
    <n v="198.51"/>
  </r>
  <r>
    <s v="ORD200334"/>
    <x v="290"/>
    <s v="C90348"/>
    <x v="3"/>
    <n v="4"/>
    <n v="224.75"/>
    <s v="728 Main St"/>
    <x v="1"/>
    <x v="3"/>
    <s v="TRK20635777"/>
    <n v="7"/>
    <s v="WINTER15"/>
    <x v="3"/>
    <n v="899"/>
  </r>
  <r>
    <s v="ORD200335"/>
    <x v="291"/>
    <s v="C58721"/>
    <x v="2"/>
    <n v="3"/>
    <n v="205.86"/>
    <s v="978 Main St"/>
    <x v="3"/>
    <x v="0"/>
    <s v="TRK34801199"/>
    <n v="4"/>
    <s v="NO COUPON CODE"/>
    <x v="2"/>
    <n v="617.58000000000004"/>
  </r>
  <r>
    <s v="ORD200336"/>
    <x v="10"/>
    <s v="C88174"/>
    <x v="5"/>
    <n v="1"/>
    <n v="18.2"/>
    <s v="441 Main St"/>
    <x v="0"/>
    <x v="4"/>
    <s v="TRK10143345"/>
    <n v="4"/>
    <s v="SAVE10"/>
    <x v="0"/>
    <n v="18.2"/>
  </r>
  <r>
    <s v="ORD200337"/>
    <x v="292"/>
    <s v="C77763"/>
    <x v="2"/>
    <n v="3"/>
    <n v="502.77"/>
    <s v="599 Main St"/>
    <x v="0"/>
    <x v="2"/>
    <s v="TRK66980447"/>
    <n v="8"/>
    <s v="WINTER15"/>
    <x v="2"/>
    <n v="1508.31"/>
  </r>
  <r>
    <s v="ORD200338"/>
    <x v="293"/>
    <s v="C53627"/>
    <x v="1"/>
    <n v="5"/>
    <n v="305.49"/>
    <s v="704 Main St"/>
    <x v="0"/>
    <x v="0"/>
    <s v="TRK64112352"/>
    <n v="10"/>
    <s v="NO COUPON CODE"/>
    <x v="1"/>
    <n v="1527.45"/>
  </r>
  <r>
    <s v="ORD200339"/>
    <x v="294"/>
    <s v="C84563"/>
    <x v="4"/>
    <n v="2"/>
    <n v="236.33"/>
    <s v="398 Main St"/>
    <x v="1"/>
    <x v="4"/>
    <s v="TRK62422797"/>
    <n v="3"/>
    <s v="SAVE10"/>
    <x v="0"/>
    <n v="472.66"/>
  </r>
  <r>
    <s v="ORD200340"/>
    <x v="295"/>
    <s v="C76207"/>
    <x v="5"/>
    <n v="5"/>
    <n v="521.25"/>
    <s v="826 Main St"/>
    <x v="4"/>
    <x v="1"/>
    <s v="TRK25569378"/>
    <n v="8"/>
    <s v="NO COUPON CODE"/>
    <x v="2"/>
    <n v="2606.25"/>
  </r>
  <r>
    <s v="ORD200341"/>
    <x v="296"/>
    <s v="C94671"/>
    <x v="2"/>
    <n v="1"/>
    <n v="167.15"/>
    <s v="293 Main St"/>
    <x v="3"/>
    <x v="0"/>
    <s v="TRK61357272"/>
    <n v="5"/>
    <s v="WINTER15"/>
    <x v="2"/>
    <n v="167.15"/>
  </r>
  <r>
    <s v="ORD200342"/>
    <x v="53"/>
    <s v="C69994"/>
    <x v="0"/>
    <n v="5"/>
    <n v="466.42"/>
    <s v="619 Main St"/>
    <x v="3"/>
    <x v="2"/>
    <s v="TRK95935805"/>
    <n v="5"/>
    <s v="NO COUPON CODE"/>
    <x v="1"/>
    <n v="2332.1"/>
  </r>
  <r>
    <s v="ORD200343"/>
    <x v="297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x v="298"/>
    <s v="C95623"/>
    <x v="2"/>
    <n v="3"/>
    <n v="623.34"/>
    <s v="248 Main St"/>
    <x v="1"/>
    <x v="1"/>
    <s v="TRK67558189"/>
    <n v="3"/>
    <s v="SAVE10"/>
    <x v="0"/>
    <n v="1870.02"/>
  </r>
  <r>
    <s v="ORD200345"/>
    <x v="173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x v="299"/>
    <s v="C31764"/>
    <x v="2"/>
    <n v="1"/>
    <n v="655.09"/>
    <s v="876 Main St"/>
    <x v="4"/>
    <x v="4"/>
    <s v="TRK44680433"/>
    <n v="6"/>
    <s v="NO COUPON CODE"/>
    <x v="1"/>
    <n v="655.09"/>
  </r>
  <r>
    <s v="ORD200347"/>
    <x v="3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x v="206"/>
    <s v="C24369"/>
    <x v="5"/>
    <n v="3"/>
    <n v="359.73"/>
    <s v="885 Main St"/>
    <x v="0"/>
    <x v="2"/>
    <s v="TRK72633998"/>
    <n v="7"/>
    <s v="FREESHIP"/>
    <x v="2"/>
    <n v="1079.19"/>
  </r>
  <r>
    <s v="ORD200349"/>
    <x v="115"/>
    <s v="C39648"/>
    <x v="3"/>
    <n v="1"/>
    <n v="465.33"/>
    <s v="824 Main St"/>
    <x v="3"/>
    <x v="3"/>
    <s v="TRK56016905"/>
    <n v="2"/>
    <s v="FREESHIP"/>
    <x v="4"/>
    <n v="465.33"/>
  </r>
  <r>
    <s v="ORD200350"/>
    <x v="301"/>
    <s v="C13296"/>
    <x v="3"/>
    <n v="2"/>
    <n v="54.41"/>
    <s v="495 Main St"/>
    <x v="1"/>
    <x v="0"/>
    <s v="TRK60127216"/>
    <n v="6"/>
    <s v="NO COUPON CODE"/>
    <x v="0"/>
    <n v="108.82"/>
  </r>
  <r>
    <s v="ORD200351"/>
    <x v="302"/>
    <s v="C94248"/>
    <x v="5"/>
    <n v="1"/>
    <n v="64.66"/>
    <s v="494 Main St"/>
    <x v="0"/>
    <x v="3"/>
    <s v="TRK89406816"/>
    <n v="4"/>
    <s v="NO COUPON CODE"/>
    <x v="0"/>
    <n v="64.66"/>
  </r>
  <r>
    <s v="ORD200352"/>
    <x v="303"/>
    <s v="C26637"/>
    <x v="3"/>
    <n v="5"/>
    <n v="173.96"/>
    <s v="995 Main St"/>
    <x v="0"/>
    <x v="4"/>
    <s v="TRK59546992"/>
    <n v="8"/>
    <s v="WINTER15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x v="304"/>
    <s v="C31772"/>
    <x v="1"/>
    <n v="1"/>
    <n v="693.41"/>
    <s v="992 Main St"/>
    <x v="0"/>
    <x v="0"/>
    <s v="TRK11970357"/>
    <n v="4"/>
    <s v="NO COUPON CODE"/>
    <x v="0"/>
    <n v="693.41"/>
  </r>
  <r>
    <s v="ORD200355"/>
    <x v="305"/>
    <s v="C18353"/>
    <x v="2"/>
    <n v="3"/>
    <n v="433.33"/>
    <s v="677 Main St"/>
    <x v="2"/>
    <x v="1"/>
    <s v="TRK78766533"/>
    <n v="4"/>
    <s v="FREESHIP"/>
    <x v="1"/>
    <n v="1299.99"/>
  </r>
  <r>
    <s v="ORD200356"/>
    <x v="306"/>
    <s v="C26966"/>
    <x v="4"/>
    <n v="5"/>
    <n v="374.58"/>
    <s v="907 Main St"/>
    <x v="3"/>
    <x v="1"/>
    <s v="TRK83889574"/>
    <n v="10"/>
    <s v="FREESHIP"/>
    <x v="0"/>
    <n v="1872.9"/>
  </r>
  <r>
    <s v="ORD200357"/>
    <x v="307"/>
    <s v="C74982"/>
    <x v="5"/>
    <n v="5"/>
    <n v="408.56"/>
    <s v="398 Main St"/>
    <x v="0"/>
    <x v="3"/>
    <s v="TRK98700702"/>
    <n v="8"/>
    <s v="FREESHIP"/>
    <x v="0"/>
    <n v="2042.8"/>
  </r>
  <r>
    <s v="ORD200358"/>
    <x v="158"/>
    <s v="C70633"/>
    <x v="2"/>
    <n v="2"/>
    <n v="183.67"/>
    <s v="747 Main St"/>
    <x v="1"/>
    <x v="1"/>
    <s v="TRK82540521"/>
    <n v="3"/>
    <s v="SAVE10"/>
    <x v="4"/>
    <n v="367.34"/>
  </r>
  <r>
    <s v="ORD200359"/>
    <x v="308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s v="NO COUPON CODE"/>
    <x v="0"/>
    <n v="2358.2800000000002"/>
  </r>
  <r>
    <s v="ORD200361"/>
    <x v="310"/>
    <s v="C53464"/>
    <x v="4"/>
    <n v="5"/>
    <n v="659.85"/>
    <s v="197 Main St"/>
    <x v="2"/>
    <x v="3"/>
    <s v="TRK32743531"/>
    <n v="9"/>
    <s v="SAVE10"/>
    <x v="3"/>
    <n v="3299.25"/>
  </r>
  <r>
    <s v="ORD200362"/>
    <x v="78"/>
    <s v="C53697"/>
    <x v="0"/>
    <n v="4"/>
    <n v="206.84"/>
    <s v="312 Main St"/>
    <x v="4"/>
    <x v="1"/>
    <s v="TRK60476656"/>
    <n v="5"/>
    <s v="WINTER15"/>
    <x v="0"/>
    <n v="827.36"/>
  </r>
  <r>
    <s v="ORD200363"/>
    <x v="75"/>
    <s v="C31668"/>
    <x v="5"/>
    <n v="5"/>
    <n v="113.87"/>
    <s v="871 Main St"/>
    <x v="2"/>
    <x v="4"/>
    <s v="TRK42584392"/>
    <n v="6"/>
    <s v="SAVE10"/>
    <x v="2"/>
    <n v="569.35"/>
  </r>
  <r>
    <s v="ORD200364"/>
    <x v="254"/>
    <s v="C85282"/>
    <x v="1"/>
    <n v="5"/>
    <n v="628.74"/>
    <s v="740 Main St"/>
    <x v="4"/>
    <x v="1"/>
    <s v="TRK86767206"/>
    <n v="9"/>
    <s v="FREESHIP"/>
    <x v="3"/>
    <n v="3143.7"/>
  </r>
  <r>
    <s v="ORD200365"/>
    <x v="311"/>
    <s v="C56796"/>
    <x v="1"/>
    <n v="1"/>
    <n v="678.38"/>
    <s v="607 Main St"/>
    <x v="2"/>
    <x v="1"/>
    <s v="TRK74263180"/>
    <n v="4"/>
    <s v="SAVE10"/>
    <x v="1"/>
    <n v="678.38"/>
  </r>
  <r>
    <s v="ORD200366"/>
    <x v="312"/>
    <s v="C95213"/>
    <x v="4"/>
    <n v="3"/>
    <n v="602.24"/>
    <s v="603 Main St"/>
    <x v="0"/>
    <x v="4"/>
    <s v="TRK40630538"/>
    <n v="8"/>
    <s v="NO COUPON CODE"/>
    <x v="1"/>
    <n v="1806.72"/>
  </r>
  <r>
    <s v="ORD200367"/>
    <x v="313"/>
    <s v="C13108"/>
    <x v="5"/>
    <n v="5"/>
    <n v="658.77"/>
    <s v="712 Main St"/>
    <x v="3"/>
    <x v="4"/>
    <s v="TRK82284400"/>
    <n v="10"/>
    <s v="FREESHIP"/>
    <x v="0"/>
    <n v="3293.85"/>
  </r>
  <r>
    <s v="ORD200368"/>
    <x v="31"/>
    <s v="C85322"/>
    <x v="0"/>
    <n v="3"/>
    <n v="271.02"/>
    <s v="403 Main St"/>
    <x v="2"/>
    <x v="1"/>
    <s v="TRK89728869"/>
    <n v="6"/>
    <s v="NO COUPON CODE"/>
    <x v="4"/>
    <n v="813.06"/>
  </r>
  <r>
    <s v="ORD200369"/>
    <x v="70"/>
    <s v="C43545"/>
    <x v="0"/>
    <n v="5"/>
    <n v="375.25"/>
    <s v="216 Main St"/>
    <x v="3"/>
    <x v="4"/>
    <s v="TRK73937402"/>
    <n v="9"/>
    <s v="SAVE10"/>
    <x v="2"/>
    <n v="1876.25"/>
  </r>
  <r>
    <s v="ORD200370"/>
    <x v="120"/>
    <s v="C80649"/>
    <x v="1"/>
    <n v="1"/>
    <n v="312.11"/>
    <s v="870 Main St"/>
    <x v="1"/>
    <x v="1"/>
    <s v="TRK41143313"/>
    <n v="4"/>
    <s v="WINTER15"/>
    <x v="3"/>
    <n v="312.11"/>
  </r>
  <r>
    <s v="ORD200371"/>
    <x v="314"/>
    <s v="C59752"/>
    <x v="1"/>
    <n v="5"/>
    <n v="307.76"/>
    <s v="179 Main St"/>
    <x v="3"/>
    <x v="4"/>
    <s v="TRK82229639"/>
    <n v="9"/>
    <s v="FREESHIP"/>
    <x v="4"/>
    <n v="1538.8"/>
  </r>
  <r>
    <s v="ORD200372"/>
    <x v="311"/>
    <s v="C53645"/>
    <x v="3"/>
    <n v="3"/>
    <n v="483.53"/>
    <s v="166 Main St"/>
    <x v="4"/>
    <x v="2"/>
    <s v="TRK12123939"/>
    <n v="4"/>
    <s v="NO COUPON CODE"/>
    <x v="1"/>
    <n v="1450.59"/>
  </r>
  <r>
    <s v="ORD200373"/>
    <x v="315"/>
    <s v="C60178"/>
    <x v="5"/>
    <n v="3"/>
    <n v="341.15"/>
    <s v="969 Main St"/>
    <x v="4"/>
    <x v="4"/>
    <s v="TRK84505143"/>
    <n v="4"/>
    <s v="FREESHIP"/>
    <x v="0"/>
    <n v="1023.45"/>
  </r>
  <r>
    <s v="ORD200374"/>
    <x v="316"/>
    <s v="C20286"/>
    <x v="0"/>
    <n v="1"/>
    <n v="571.9"/>
    <s v="129 Main St"/>
    <x v="3"/>
    <x v="4"/>
    <s v="TRK67648338"/>
    <n v="1"/>
    <s v="WINTER15"/>
    <x v="0"/>
    <n v="571.9"/>
  </r>
  <r>
    <s v="ORD200375"/>
    <x v="317"/>
    <s v="C87547"/>
    <x v="0"/>
    <n v="4"/>
    <n v="95.03"/>
    <s v="400 Main St"/>
    <x v="1"/>
    <x v="0"/>
    <s v="TRK71027262"/>
    <n v="8"/>
    <s v="FREESHIP"/>
    <x v="3"/>
    <n v="380.12"/>
  </r>
  <r>
    <s v="ORD200376"/>
    <x v="318"/>
    <s v="C64549"/>
    <x v="0"/>
    <n v="5"/>
    <n v="201.22"/>
    <s v="341 Main St"/>
    <x v="0"/>
    <x v="4"/>
    <s v="TRK20788231"/>
    <n v="6"/>
    <s v="FREESHIP"/>
    <x v="3"/>
    <n v="1006.1"/>
  </r>
  <r>
    <s v="ORD200377"/>
    <x v="319"/>
    <s v="C24884"/>
    <x v="0"/>
    <n v="1"/>
    <n v="260.26"/>
    <s v="625 Main St"/>
    <x v="1"/>
    <x v="4"/>
    <s v="TRK44538419"/>
    <n v="5"/>
    <s v="WINTER15"/>
    <x v="0"/>
    <n v="260.26"/>
  </r>
  <r>
    <s v="ORD200378"/>
    <x v="320"/>
    <s v="C62666"/>
    <x v="3"/>
    <n v="5"/>
    <n v="64.5"/>
    <s v="148 Main St"/>
    <x v="2"/>
    <x v="4"/>
    <s v="TRK91029390"/>
    <n v="8"/>
    <s v="WINTER15"/>
    <x v="0"/>
    <n v="322.5"/>
  </r>
  <r>
    <s v="ORD200379"/>
    <x v="321"/>
    <s v="C47284"/>
    <x v="1"/>
    <n v="3"/>
    <n v="297.67"/>
    <s v="500 Main St"/>
    <x v="1"/>
    <x v="0"/>
    <s v="TRK85756094"/>
    <n v="6"/>
    <s v="NO COUPON CODE"/>
    <x v="4"/>
    <n v="893.01"/>
  </r>
  <r>
    <s v="ORD200380"/>
    <x v="322"/>
    <s v="C35355"/>
    <x v="4"/>
    <n v="4"/>
    <n v="331.9"/>
    <s v="127 Main St"/>
    <x v="4"/>
    <x v="4"/>
    <s v="TRK52935059"/>
    <n v="5"/>
    <s v="SAVE10"/>
    <x v="0"/>
    <n v="1327.6"/>
  </r>
  <r>
    <s v="ORD200381"/>
    <x v="323"/>
    <s v="C29467"/>
    <x v="3"/>
    <n v="1"/>
    <n v="191.76"/>
    <s v="223 Main St"/>
    <x v="2"/>
    <x v="2"/>
    <s v="TRK98103385"/>
    <n v="1"/>
    <s v="FREESHIP"/>
    <x v="0"/>
    <n v="191.76"/>
  </r>
  <r>
    <s v="ORD200382"/>
    <x v="324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x v="325"/>
    <s v="C18944"/>
    <x v="3"/>
    <n v="4"/>
    <n v="393.8"/>
    <s v="837 Main St"/>
    <x v="2"/>
    <x v="4"/>
    <s v="TRK45275439"/>
    <n v="7"/>
    <s v="SAVE10"/>
    <x v="2"/>
    <n v="1575.2"/>
  </r>
  <r>
    <s v="ORD200384"/>
    <x v="167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x v="150"/>
    <s v="C56851"/>
    <x v="3"/>
    <n v="5"/>
    <n v="191.63"/>
    <s v="752 Main St"/>
    <x v="3"/>
    <x v="3"/>
    <s v="TRK65290904"/>
    <n v="6"/>
    <s v="FREESHIP"/>
    <x v="3"/>
    <n v="958.15"/>
  </r>
  <r>
    <s v="ORD200386"/>
    <x v="200"/>
    <s v="C12421"/>
    <x v="2"/>
    <n v="1"/>
    <n v="93.02"/>
    <s v="373 Main St"/>
    <x v="1"/>
    <x v="2"/>
    <s v="TRK32588504"/>
    <n v="4"/>
    <s v="NO COUPON CODE"/>
    <x v="2"/>
    <n v="93.02"/>
  </r>
  <r>
    <s v="ORD200387"/>
    <x v="326"/>
    <s v="C25316"/>
    <x v="4"/>
    <n v="2"/>
    <n v="39.53"/>
    <s v="904 Main St"/>
    <x v="2"/>
    <x v="0"/>
    <s v="TRK55423551"/>
    <n v="3"/>
    <s v="WINTER15"/>
    <x v="4"/>
    <n v="79.06"/>
  </r>
  <r>
    <s v="ORD200388"/>
    <x v="153"/>
    <s v="C22657"/>
    <x v="4"/>
    <n v="3"/>
    <n v="633.97"/>
    <s v="152 Main St"/>
    <x v="4"/>
    <x v="4"/>
    <s v="TRK49157047"/>
    <n v="7"/>
    <s v="WINTER15"/>
    <x v="3"/>
    <n v="1901.91"/>
  </r>
  <r>
    <s v="ORD200389"/>
    <x v="327"/>
    <s v="C29703"/>
    <x v="6"/>
    <n v="4"/>
    <n v="697.5"/>
    <s v="558 Main St"/>
    <x v="4"/>
    <x v="0"/>
    <s v="TRK40543461"/>
    <n v="7"/>
    <s v="FREESHIP"/>
    <x v="1"/>
    <n v="2790"/>
  </r>
  <r>
    <s v="ORD200390"/>
    <x v="328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x v="317"/>
    <s v="C60037"/>
    <x v="5"/>
    <n v="2"/>
    <n v="527.46"/>
    <s v="516 Main St"/>
    <x v="0"/>
    <x v="1"/>
    <s v="TRK82009557"/>
    <n v="3"/>
    <s v="FREESHIP"/>
    <x v="1"/>
    <n v="1054.92"/>
  </r>
  <r>
    <s v="ORD200392"/>
    <x v="329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s v="NO COUPON CODE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s v="NO COUPON CODE"/>
    <x v="3"/>
    <n v="2647.75"/>
  </r>
  <r>
    <s v="ORD200395"/>
    <x v="331"/>
    <s v="C30010"/>
    <x v="1"/>
    <n v="3"/>
    <n v="127.41"/>
    <s v="830 Main St"/>
    <x v="3"/>
    <x v="3"/>
    <s v="TRK35386084"/>
    <n v="7"/>
    <s v="SAVE10"/>
    <x v="1"/>
    <n v="382.23"/>
  </r>
  <r>
    <s v="ORD200396"/>
    <x v="142"/>
    <s v="C99217"/>
    <x v="2"/>
    <n v="5"/>
    <n v="287.13"/>
    <s v="778 Main St"/>
    <x v="1"/>
    <x v="0"/>
    <s v="TRK82004594"/>
    <n v="10"/>
    <s v="SAVE10"/>
    <x v="2"/>
    <n v="1435.65"/>
  </r>
  <r>
    <s v="ORD200397"/>
    <x v="332"/>
    <s v="C30184"/>
    <x v="0"/>
    <n v="1"/>
    <n v="427.06"/>
    <s v="987 Main St"/>
    <x v="1"/>
    <x v="1"/>
    <s v="TRK86674704"/>
    <n v="1"/>
    <s v="WINTER15"/>
    <x v="1"/>
    <n v="427.06"/>
  </r>
  <r>
    <s v="ORD200398"/>
    <x v="333"/>
    <s v="C50275"/>
    <x v="1"/>
    <n v="5"/>
    <n v="53.93"/>
    <s v="729 Main St"/>
    <x v="3"/>
    <x v="0"/>
    <s v="TRK98925264"/>
    <n v="7"/>
    <s v="SAVE10"/>
    <x v="0"/>
    <n v="269.64999999999998"/>
  </r>
  <r>
    <s v="ORD200399"/>
    <x v="334"/>
    <s v="C64641"/>
    <x v="2"/>
    <n v="5"/>
    <n v="423.93"/>
    <s v="319 Main St"/>
    <x v="0"/>
    <x v="2"/>
    <s v="TRK32012588"/>
    <n v="5"/>
    <s v="FREESHIP"/>
    <x v="3"/>
    <n v="2119.65"/>
  </r>
  <r>
    <s v="ORD200400"/>
    <x v="335"/>
    <s v="C56266"/>
    <x v="6"/>
    <n v="4"/>
    <n v="160.22"/>
    <s v="304 Main St"/>
    <x v="0"/>
    <x v="2"/>
    <s v="TRK60088901"/>
    <n v="9"/>
    <s v="WINTER15"/>
    <x v="0"/>
    <n v="640.88"/>
  </r>
  <r>
    <s v="ORD200401"/>
    <x v="23"/>
    <s v="C98635"/>
    <x v="4"/>
    <n v="1"/>
    <n v="538.67999999999995"/>
    <s v="197 Main St"/>
    <x v="0"/>
    <x v="2"/>
    <s v="TRK14225465"/>
    <n v="6"/>
    <s v="NO COUPON CODE"/>
    <x v="1"/>
    <n v="538.67999999999995"/>
  </r>
  <r>
    <s v="ORD200402"/>
    <x v="336"/>
    <s v="C83026"/>
    <x v="4"/>
    <n v="5"/>
    <n v="337.38"/>
    <s v="858 Main St"/>
    <x v="3"/>
    <x v="0"/>
    <s v="TRK79746259"/>
    <n v="5"/>
    <s v="NO COUPON CODE"/>
    <x v="1"/>
    <n v="1686.9"/>
  </r>
  <r>
    <s v="ORD200403"/>
    <x v="337"/>
    <s v="C28893"/>
    <x v="2"/>
    <n v="1"/>
    <n v="620.21"/>
    <s v="740 Main St"/>
    <x v="1"/>
    <x v="2"/>
    <s v="TRK98333066"/>
    <n v="1"/>
    <s v="FREESHIP"/>
    <x v="1"/>
    <n v="620.21"/>
  </r>
  <r>
    <s v="ORD200404"/>
    <x v="338"/>
    <s v="C45482"/>
    <x v="0"/>
    <n v="2"/>
    <n v="99.1"/>
    <s v="440 Main St"/>
    <x v="4"/>
    <x v="3"/>
    <s v="TRK54571699"/>
    <n v="6"/>
    <s v="NO COUPON CODE"/>
    <x v="0"/>
    <n v="198.2"/>
  </r>
  <r>
    <s v="ORD200405"/>
    <x v="281"/>
    <s v="C97774"/>
    <x v="0"/>
    <n v="4"/>
    <n v="451.97"/>
    <s v="603 Main St"/>
    <x v="1"/>
    <x v="1"/>
    <s v="TRK64664424"/>
    <n v="7"/>
    <s v="WINTER15"/>
    <x v="2"/>
    <n v="1807.88"/>
  </r>
  <r>
    <s v="ORD200406"/>
    <x v="339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x v="341"/>
    <s v="C11906"/>
    <x v="4"/>
    <n v="3"/>
    <n v="412.53"/>
    <s v="536 Main St"/>
    <x v="1"/>
    <x v="4"/>
    <s v="TRK31140158"/>
    <n v="6"/>
    <s v="WINTER15"/>
    <x v="4"/>
    <n v="1237.5899999999999"/>
  </r>
  <r>
    <s v="ORD200409"/>
    <x v="342"/>
    <s v="C45187"/>
    <x v="6"/>
    <n v="5"/>
    <n v="84.13"/>
    <s v="767 Main St"/>
    <x v="1"/>
    <x v="3"/>
    <s v="TRK12320793"/>
    <n v="9"/>
    <s v="SAVE10"/>
    <x v="4"/>
    <n v="420.65"/>
  </r>
  <r>
    <s v="ORD200410"/>
    <x v="343"/>
    <s v="C37375"/>
    <x v="2"/>
    <n v="2"/>
    <n v="518.23"/>
    <s v="184 Main St"/>
    <x v="0"/>
    <x v="0"/>
    <s v="TRK52470162"/>
    <n v="5"/>
    <s v="NO COUPON CODE"/>
    <x v="2"/>
    <n v="1036.46"/>
  </r>
  <r>
    <s v="ORD200411"/>
    <x v="83"/>
    <s v="C66567"/>
    <x v="6"/>
    <n v="2"/>
    <n v="39.51"/>
    <s v="981 Main St"/>
    <x v="1"/>
    <x v="0"/>
    <s v="TRK21174822"/>
    <n v="5"/>
    <s v="NO COUPON CODE"/>
    <x v="3"/>
    <n v="79.02"/>
  </r>
  <r>
    <s v="ORD200412"/>
    <x v="344"/>
    <s v="C42451"/>
    <x v="2"/>
    <n v="5"/>
    <n v="133.01"/>
    <s v="246 Main St"/>
    <x v="2"/>
    <x v="2"/>
    <s v="TRK31313343"/>
    <n v="10"/>
    <s v="NO COUPON CODE"/>
    <x v="3"/>
    <n v="665.05"/>
  </r>
  <r>
    <s v="ORD200413"/>
    <x v="345"/>
    <s v="C13923"/>
    <x v="2"/>
    <n v="1"/>
    <n v="118.8"/>
    <s v="123 Main St"/>
    <x v="1"/>
    <x v="3"/>
    <s v="TRK87598790"/>
    <n v="6"/>
    <s v="SAVE10"/>
    <x v="2"/>
    <n v="118.8"/>
  </r>
  <r>
    <s v="ORD200414"/>
    <x v="346"/>
    <s v="C11829"/>
    <x v="6"/>
    <n v="2"/>
    <n v="139.57"/>
    <s v="797 Main St"/>
    <x v="4"/>
    <x v="3"/>
    <s v="TRK84229257"/>
    <n v="4"/>
    <s v="WINTER15"/>
    <x v="3"/>
    <n v="279.14"/>
  </r>
  <r>
    <s v="ORD200415"/>
    <x v="161"/>
    <s v="C62169"/>
    <x v="3"/>
    <n v="1"/>
    <n v="184.15"/>
    <s v="655 Main St"/>
    <x v="3"/>
    <x v="0"/>
    <s v="TRK64558985"/>
    <n v="5"/>
    <s v="FREESHIP"/>
    <x v="3"/>
    <n v="184.15"/>
  </r>
  <r>
    <s v="ORD200416"/>
    <x v="202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x v="347"/>
    <s v="C44492"/>
    <x v="5"/>
    <n v="5"/>
    <n v="55.41"/>
    <s v="954 Main St"/>
    <x v="1"/>
    <x v="1"/>
    <s v="TRK51429869"/>
    <n v="5"/>
    <s v="NO COUPON CODE"/>
    <x v="4"/>
    <n v="277.05"/>
  </r>
  <r>
    <s v="ORD200418"/>
    <x v="348"/>
    <s v="C74169"/>
    <x v="4"/>
    <n v="1"/>
    <n v="310.93"/>
    <s v="862 Main St"/>
    <x v="1"/>
    <x v="1"/>
    <s v="TRK66144809"/>
    <n v="3"/>
    <s v="NO COUPON CODE"/>
    <x v="3"/>
    <n v="310.93"/>
  </r>
  <r>
    <s v="ORD200419"/>
    <x v="349"/>
    <s v="C70999"/>
    <x v="2"/>
    <n v="2"/>
    <n v="216.66"/>
    <s v="885 Main St"/>
    <x v="0"/>
    <x v="4"/>
    <s v="TRK75644156"/>
    <n v="6"/>
    <s v="FREESHIP"/>
    <x v="0"/>
    <n v="433.32"/>
  </r>
  <r>
    <s v="ORD200420"/>
    <x v="350"/>
    <s v="C11921"/>
    <x v="1"/>
    <n v="1"/>
    <n v="452.7"/>
    <s v="439 Main St"/>
    <x v="0"/>
    <x v="0"/>
    <s v="TRK91362635"/>
    <n v="5"/>
    <s v="FREESHIP"/>
    <x v="0"/>
    <n v="452.7"/>
  </r>
  <r>
    <s v="ORD200421"/>
    <x v="3"/>
    <s v="C50683"/>
    <x v="3"/>
    <n v="2"/>
    <n v="288.20999999999998"/>
    <s v="769 Main St"/>
    <x v="0"/>
    <x v="1"/>
    <s v="TRK53032122"/>
    <n v="5"/>
    <s v="NO COUPON CODE"/>
    <x v="2"/>
    <n v="576.41999999999996"/>
  </r>
  <r>
    <s v="ORD200422"/>
    <x v="32"/>
    <s v="C76140"/>
    <x v="1"/>
    <n v="4"/>
    <n v="206.6"/>
    <s v="914 Main St"/>
    <x v="3"/>
    <x v="2"/>
    <s v="TRK25861469"/>
    <n v="6"/>
    <s v="WINTER15"/>
    <x v="1"/>
    <n v="826.4"/>
  </r>
  <r>
    <s v="ORD200423"/>
    <x v="351"/>
    <s v="C94311"/>
    <x v="4"/>
    <n v="4"/>
    <n v="685.2"/>
    <s v="195 Main St"/>
    <x v="3"/>
    <x v="1"/>
    <s v="TRK97308771"/>
    <n v="6"/>
    <s v="WINTER15"/>
    <x v="4"/>
    <n v="2740.8"/>
  </r>
  <r>
    <s v="ORD200424"/>
    <x v="352"/>
    <s v="C49491"/>
    <x v="3"/>
    <n v="5"/>
    <n v="22.94"/>
    <s v="339 Main St"/>
    <x v="4"/>
    <x v="4"/>
    <s v="TRK64012257"/>
    <n v="10"/>
    <s v="NO COUPON CODE"/>
    <x v="2"/>
    <n v="114.7"/>
  </r>
  <r>
    <s v="ORD200425"/>
    <x v="338"/>
    <s v="C40648"/>
    <x v="5"/>
    <n v="2"/>
    <n v="301.88"/>
    <s v="488 Main St"/>
    <x v="3"/>
    <x v="2"/>
    <s v="TRK25325993"/>
    <n v="5"/>
    <s v="WINTER15"/>
    <x v="2"/>
    <n v="603.76"/>
  </r>
  <r>
    <s v="ORD200426"/>
    <x v="353"/>
    <s v="C40967"/>
    <x v="0"/>
    <n v="5"/>
    <n v="57.45"/>
    <s v="315 Main St"/>
    <x v="4"/>
    <x v="1"/>
    <s v="TRK24839296"/>
    <n v="10"/>
    <s v="NO COUPON CODE"/>
    <x v="3"/>
    <n v="287.25"/>
  </r>
  <r>
    <s v="ORD200427"/>
    <x v="144"/>
    <s v="C25406"/>
    <x v="6"/>
    <n v="1"/>
    <n v="161.24"/>
    <s v="379 Main St"/>
    <x v="2"/>
    <x v="4"/>
    <s v="TRK70952564"/>
    <n v="3"/>
    <s v="WINTER15"/>
    <x v="0"/>
    <n v="161.24"/>
  </r>
  <r>
    <s v="ORD200428"/>
    <x v="130"/>
    <s v="C77085"/>
    <x v="3"/>
    <n v="4"/>
    <n v="262.58"/>
    <s v="895 Main St"/>
    <x v="1"/>
    <x v="1"/>
    <s v="TRK57227640"/>
    <n v="8"/>
    <s v="WINTER15"/>
    <x v="2"/>
    <n v="1050.32"/>
  </r>
  <r>
    <s v="ORD200429"/>
    <x v="36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x v="323"/>
    <s v="C87448"/>
    <x v="1"/>
    <n v="1"/>
    <n v="450.07"/>
    <s v="433 Main St"/>
    <x v="3"/>
    <x v="0"/>
    <s v="TRK44134016"/>
    <n v="6"/>
    <s v="FREESHIP"/>
    <x v="4"/>
    <n v="450.07"/>
  </r>
  <r>
    <s v="ORD200431"/>
    <x v="354"/>
    <s v="C62312"/>
    <x v="4"/>
    <n v="1"/>
    <n v="52.54"/>
    <s v="651 Main St"/>
    <x v="0"/>
    <x v="1"/>
    <s v="TRK59623037"/>
    <n v="6"/>
    <s v="WINTER15"/>
    <x v="3"/>
    <n v="52.54"/>
  </r>
  <r>
    <s v="ORD200432"/>
    <x v="355"/>
    <s v="C58443"/>
    <x v="2"/>
    <n v="2"/>
    <n v="424.32"/>
    <s v="662 Main St"/>
    <x v="2"/>
    <x v="2"/>
    <s v="TRK77163738"/>
    <n v="6"/>
    <s v="NO COUPON CODE"/>
    <x v="1"/>
    <n v="848.64"/>
  </r>
  <r>
    <s v="ORD200433"/>
    <x v="46"/>
    <s v="C36613"/>
    <x v="0"/>
    <n v="3"/>
    <n v="631.64"/>
    <s v="785 Main St"/>
    <x v="2"/>
    <x v="2"/>
    <s v="TRK13282106"/>
    <n v="3"/>
    <s v="FREESHIP"/>
    <x v="3"/>
    <n v="1894.92"/>
  </r>
  <r>
    <s v="ORD200434"/>
    <x v="356"/>
    <s v="C73893"/>
    <x v="4"/>
    <n v="5"/>
    <n v="327.68"/>
    <s v="384 Main St"/>
    <x v="2"/>
    <x v="2"/>
    <s v="TRK85939879"/>
    <n v="6"/>
    <s v="NO COUPON CODE"/>
    <x v="3"/>
    <n v="1638.4"/>
  </r>
  <r>
    <s v="ORD200435"/>
    <x v="156"/>
    <s v="C48601"/>
    <x v="4"/>
    <n v="1"/>
    <n v="414.47"/>
    <s v="101 Main St"/>
    <x v="0"/>
    <x v="2"/>
    <s v="TRK97868309"/>
    <n v="3"/>
    <s v="FREESHIP"/>
    <x v="0"/>
    <n v="414.47"/>
  </r>
  <r>
    <s v="ORD200436"/>
    <x v="91"/>
    <s v="C14568"/>
    <x v="5"/>
    <n v="4"/>
    <n v="221.33"/>
    <s v="651 Main St"/>
    <x v="1"/>
    <x v="4"/>
    <s v="TRK73545796"/>
    <n v="5"/>
    <s v="NO COUPON CODE"/>
    <x v="4"/>
    <n v="885.32"/>
  </r>
  <r>
    <s v="ORD200437"/>
    <x v="171"/>
    <s v="C63378"/>
    <x v="1"/>
    <n v="1"/>
    <n v="512.39"/>
    <s v="955 Main St"/>
    <x v="1"/>
    <x v="3"/>
    <s v="TRK20863705"/>
    <n v="2"/>
    <s v="FREESHIP"/>
    <x v="0"/>
    <n v="512.39"/>
  </r>
  <r>
    <s v="ORD200438"/>
    <x v="195"/>
    <s v="C77800"/>
    <x v="2"/>
    <n v="3"/>
    <n v="459.34"/>
    <s v="436 Main St"/>
    <x v="3"/>
    <x v="4"/>
    <s v="TRK27439574"/>
    <n v="3"/>
    <s v="SAVE10"/>
    <x v="0"/>
    <n v="1378.02"/>
  </r>
  <r>
    <s v="ORD200439"/>
    <x v="50"/>
    <s v="C91155"/>
    <x v="2"/>
    <n v="1"/>
    <n v="146.32"/>
    <s v="321 Main St"/>
    <x v="1"/>
    <x v="0"/>
    <s v="TRK36260319"/>
    <n v="4"/>
    <s v="WINTER15"/>
    <x v="3"/>
    <n v="146.32"/>
  </r>
  <r>
    <s v="ORD200440"/>
    <x v="357"/>
    <s v="C60215"/>
    <x v="6"/>
    <n v="4"/>
    <n v="83.6"/>
    <s v="978 Main St"/>
    <x v="0"/>
    <x v="4"/>
    <s v="TRK31727767"/>
    <n v="4"/>
    <s v="SAVE10"/>
    <x v="3"/>
    <n v="334.4"/>
  </r>
  <r>
    <s v="ORD200441"/>
    <x v="141"/>
    <s v="C52915"/>
    <x v="4"/>
    <n v="2"/>
    <n v="328.54"/>
    <s v="475 Main St"/>
    <x v="3"/>
    <x v="2"/>
    <s v="TRK79466982"/>
    <n v="6"/>
    <s v="FREESHIP"/>
    <x v="2"/>
    <n v="657.08"/>
  </r>
  <r>
    <s v="ORD200442"/>
    <x v="40"/>
    <s v="C72588"/>
    <x v="3"/>
    <n v="5"/>
    <n v="314.94"/>
    <s v="661 Main St"/>
    <x v="4"/>
    <x v="4"/>
    <s v="TRK43410829"/>
    <n v="8"/>
    <s v="SAVE10"/>
    <x v="0"/>
    <n v="1574.7"/>
  </r>
  <r>
    <s v="ORD200443"/>
    <x v="358"/>
    <s v="C61668"/>
    <x v="3"/>
    <n v="2"/>
    <n v="69.64"/>
    <s v="813 Main St"/>
    <x v="4"/>
    <x v="2"/>
    <s v="TRK58970302"/>
    <n v="6"/>
    <s v="NO COUPON CODE"/>
    <x v="3"/>
    <n v="139.28"/>
  </r>
  <r>
    <s v="ORD200444"/>
    <x v="18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x v="230"/>
    <s v="C94569"/>
    <x v="1"/>
    <n v="1"/>
    <n v="487.21"/>
    <s v="227 Main St"/>
    <x v="4"/>
    <x v="3"/>
    <s v="TRK31351770"/>
    <n v="3"/>
    <s v="SAVE10"/>
    <x v="1"/>
    <n v="487.21"/>
  </r>
  <r>
    <s v="ORD200446"/>
    <x v="359"/>
    <s v="C89592"/>
    <x v="5"/>
    <n v="5"/>
    <n v="509.58"/>
    <s v="262 Main St"/>
    <x v="1"/>
    <x v="3"/>
    <s v="TRK49442402"/>
    <n v="6"/>
    <s v="FREESHIP"/>
    <x v="0"/>
    <n v="2547.9"/>
  </r>
  <r>
    <s v="ORD200447"/>
    <x v="158"/>
    <s v="C48207"/>
    <x v="4"/>
    <n v="2"/>
    <n v="416.81"/>
    <s v="356 Main St"/>
    <x v="4"/>
    <x v="2"/>
    <s v="TRK45355655"/>
    <n v="2"/>
    <s v="NO COUPON CODE"/>
    <x v="3"/>
    <n v="833.62"/>
  </r>
  <r>
    <s v="ORD200448"/>
    <x v="355"/>
    <s v="C16776"/>
    <x v="5"/>
    <n v="2"/>
    <n v="160"/>
    <s v="854 Main St"/>
    <x v="4"/>
    <x v="4"/>
    <s v="TRK12860600"/>
    <n v="4"/>
    <s v="SAVE10"/>
    <x v="0"/>
    <n v="320"/>
  </r>
  <r>
    <s v="ORD200449"/>
    <x v="360"/>
    <s v="C91518"/>
    <x v="2"/>
    <n v="3"/>
    <n v="253.05"/>
    <s v="286 Main St"/>
    <x v="1"/>
    <x v="4"/>
    <s v="TRK48688724"/>
    <n v="3"/>
    <s v="NO COUPON CODE"/>
    <x v="0"/>
    <n v="759.15000000000009"/>
  </r>
  <r>
    <s v="ORD200450"/>
    <x v="361"/>
    <s v="C36408"/>
    <x v="0"/>
    <n v="5"/>
    <n v="615.1"/>
    <s v="160 Main St"/>
    <x v="3"/>
    <x v="2"/>
    <s v="TRK94023253"/>
    <n v="10"/>
    <s v="WINTER15"/>
    <x v="0"/>
    <n v="3075.5"/>
  </r>
  <r>
    <s v="ORD200451"/>
    <x v="362"/>
    <s v="C14837"/>
    <x v="0"/>
    <n v="1"/>
    <n v="183.18"/>
    <s v="647 Main St"/>
    <x v="0"/>
    <x v="1"/>
    <s v="TRK17501136"/>
    <n v="6"/>
    <s v="SAVE10"/>
    <x v="2"/>
    <n v="183.18"/>
  </r>
  <r>
    <s v="ORD200452"/>
    <x v="363"/>
    <s v="C36467"/>
    <x v="4"/>
    <n v="1"/>
    <n v="75.78"/>
    <s v="581 Main St"/>
    <x v="4"/>
    <x v="4"/>
    <s v="TRK20863987"/>
    <n v="5"/>
    <s v="SAVE10"/>
    <x v="4"/>
    <n v="75.78"/>
  </r>
  <r>
    <s v="ORD200453"/>
    <x v="201"/>
    <s v="C15017"/>
    <x v="2"/>
    <n v="1"/>
    <n v="675.57"/>
    <s v="492 Main St"/>
    <x v="4"/>
    <x v="0"/>
    <s v="TRK51241924"/>
    <n v="1"/>
    <s v="WINTER15"/>
    <x v="3"/>
    <n v="675.57"/>
  </r>
  <r>
    <s v="ORD200454"/>
    <x v="364"/>
    <s v="C54759"/>
    <x v="5"/>
    <n v="1"/>
    <n v="109.29"/>
    <s v="686 Main St"/>
    <x v="0"/>
    <x v="1"/>
    <s v="TRK75583042"/>
    <n v="5"/>
    <s v="FREESHIP"/>
    <x v="4"/>
    <n v="109.29"/>
  </r>
  <r>
    <s v="ORD200455"/>
    <x v="29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x v="365"/>
    <s v="C94479"/>
    <x v="6"/>
    <n v="5"/>
    <n v="62.81"/>
    <s v="259 Main St"/>
    <x v="2"/>
    <x v="0"/>
    <s v="TRK69089975"/>
    <n v="9"/>
    <s v="SAVE10"/>
    <x v="3"/>
    <n v="314.05"/>
  </r>
  <r>
    <s v="ORD200457"/>
    <x v="366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x v="367"/>
    <s v="C31412"/>
    <x v="0"/>
    <n v="4"/>
    <n v="510.58"/>
    <s v="196 Main St"/>
    <x v="2"/>
    <x v="2"/>
    <s v="TRK61946127"/>
    <n v="7"/>
    <s v="WINTER15"/>
    <x v="2"/>
    <n v="2042.32"/>
  </r>
  <r>
    <s v="ORD200459"/>
    <x v="25"/>
    <s v="C90142"/>
    <x v="6"/>
    <n v="1"/>
    <n v="334.39"/>
    <s v="433 Main St"/>
    <x v="2"/>
    <x v="2"/>
    <s v="TRK39717191"/>
    <n v="2"/>
    <s v="NO COUPON CODE"/>
    <x v="0"/>
    <n v="334.39"/>
  </r>
  <r>
    <s v="ORD200460"/>
    <x v="354"/>
    <s v="C83548"/>
    <x v="5"/>
    <n v="1"/>
    <n v="144.25"/>
    <s v="474 Main St"/>
    <x v="4"/>
    <x v="2"/>
    <s v="TRK93822942"/>
    <n v="2"/>
    <s v="WINTER15"/>
    <x v="1"/>
    <n v="144.25"/>
  </r>
  <r>
    <s v="ORD200461"/>
    <x v="180"/>
    <s v="C29697"/>
    <x v="2"/>
    <n v="1"/>
    <n v="401.82"/>
    <s v="407 Main St"/>
    <x v="2"/>
    <x v="0"/>
    <s v="TRK47776482"/>
    <n v="5"/>
    <s v="FREESHIP"/>
    <x v="4"/>
    <n v="401.82"/>
  </r>
  <r>
    <s v="ORD200462"/>
    <x v="368"/>
    <s v="C22991"/>
    <x v="1"/>
    <n v="1"/>
    <n v="252.68"/>
    <s v="731 Main St"/>
    <x v="1"/>
    <x v="1"/>
    <s v="TRK32796086"/>
    <n v="1"/>
    <s v="NO COUPON CODE"/>
    <x v="1"/>
    <n v="252.68"/>
  </r>
  <r>
    <s v="ORD200463"/>
    <x v="68"/>
    <s v="C25276"/>
    <x v="5"/>
    <n v="5"/>
    <n v="662.78"/>
    <s v="214 Main St"/>
    <x v="0"/>
    <x v="0"/>
    <s v="TRK14011732"/>
    <n v="9"/>
    <s v="SAVE10"/>
    <x v="0"/>
    <n v="3313.9"/>
  </r>
  <r>
    <s v="ORD200464"/>
    <x v="369"/>
    <s v="C39176"/>
    <x v="2"/>
    <n v="4"/>
    <n v="434.42"/>
    <s v="739 Main St"/>
    <x v="1"/>
    <x v="1"/>
    <s v="TRK71418686"/>
    <n v="6"/>
    <s v="FREESHIP"/>
    <x v="4"/>
    <n v="1737.68"/>
  </r>
  <r>
    <s v="ORD200465"/>
    <x v="235"/>
    <s v="C58773"/>
    <x v="4"/>
    <n v="5"/>
    <n v="513.49"/>
    <s v="391 Main St"/>
    <x v="3"/>
    <x v="1"/>
    <s v="TRK65438300"/>
    <n v="8"/>
    <s v="NO COUPON CODE"/>
    <x v="4"/>
    <n v="2567.4499999999998"/>
  </r>
  <r>
    <s v="ORD200466"/>
    <x v="202"/>
    <s v="C37412"/>
    <x v="1"/>
    <n v="1"/>
    <n v="432.47"/>
    <s v="895 Main St"/>
    <x v="4"/>
    <x v="3"/>
    <s v="TRK97829604"/>
    <n v="4"/>
    <s v="FREESHIP"/>
    <x v="1"/>
    <n v="432.47"/>
  </r>
  <r>
    <s v="ORD200467"/>
    <x v="225"/>
    <s v="C36492"/>
    <x v="6"/>
    <n v="1"/>
    <n v="45.94"/>
    <s v="572 Main St"/>
    <x v="4"/>
    <x v="1"/>
    <s v="TRK44350440"/>
    <n v="2"/>
    <s v="WINTER15"/>
    <x v="2"/>
    <n v="45.94"/>
  </r>
  <r>
    <s v="ORD200468"/>
    <x v="370"/>
    <s v="C90110"/>
    <x v="1"/>
    <n v="1"/>
    <n v="418.36"/>
    <s v="998 Main St"/>
    <x v="2"/>
    <x v="3"/>
    <s v="TRK60203957"/>
    <n v="5"/>
    <s v="FREESHIP"/>
    <x v="2"/>
    <n v="418.36"/>
  </r>
  <r>
    <s v="ORD200469"/>
    <x v="371"/>
    <s v="C13877"/>
    <x v="3"/>
    <n v="5"/>
    <n v="676.98"/>
    <s v="893 Main St"/>
    <x v="4"/>
    <x v="1"/>
    <s v="TRK17254691"/>
    <n v="5"/>
    <s v="NO COUPON CODE"/>
    <x v="3"/>
    <n v="3384.9"/>
  </r>
  <r>
    <s v="ORD200470"/>
    <x v="372"/>
    <s v="C25149"/>
    <x v="2"/>
    <n v="4"/>
    <n v="263.62"/>
    <s v="672 Main St"/>
    <x v="4"/>
    <x v="0"/>
    <s v="TRK33538608"/>
    <n v="5"/>
    <s v="SAVE10"/>
    <x v="2"/>
    <n v="1054.48"/>
  </r>
  <r>
    <s v="ORD200471"/>
    <x v="373"/>
    <s v="C52717"/>
    <x v="6"/>
    <n v="5"/>
    <n v="551.27"/>
    <s v="395 Main St"/>
    <x v="1"/>
    <x v="1"/>
    <s v="TRK27625571"/>
    <n v="7"/>
    <s v="FREESHIP"/>
    <x v="1"/>
    <n v="2756.35"/>
  </r>
  <r>
    <s v="ORD200472"/>
    <x v="374"/>
    <s v="C60029"/>
    <x v="3"/>
    <n v="3"/>
    <n v="508.12"/>
    <s v="796 Main St"/>
    <x v="2"/>
    <x v="1"/>
    <s v="TRK86461316"/>
    <n v="8"/>
    <s v="FREESHIP"/>
    <x v="1"/>
    <n v="1524.36"/>
  </r>
  <r>
    <s v="ORD200473"/>
    <x v="86"/>
    <s v="C28552"/>
    <x v="3"/>
    <n v="2"/>
    <n v="14.93"/>
    <s v="449 Main St"/>
    <x v="1"/>
    <x v="0"/>
    <s v="TRK71597160"/>
    <n v="4"/>
    <s v="NO COUPON CODE"/>
    <x v="3"/>
    <n v="29.86"/>
  </r>
  <r>
    <s v="ORD200474"/>
    <x v="375"/>
    <s v="C72293"/>
    <x v="4"/>
    <n v="3"/>
    <n v="229.34"/>
    <s v="398 Main St"/>
    <x v="2"/>
    <x v="0"/>
    <s v="TRK84378003"/>
    <n v="6"/>
    <s v="SAVE10"/>
    <x v="1"/>
    <n v="688.02"/>
  </r>
  <r>
    <s v="ORD200475"/>
    <x v="373"/>
    <s v="C29844"/>
    <x v="2"/>
    <n v="2"/>
    <n v="438.62"/>
    <s v="363 Main St"/>
    <x v="4"/>
    <x v="1"/>
    <s v="TRK91642337"/>
    <n v="3"/>
    <s v="SAVE10"/>
    <x v="3"/>
    <n v="877.24"/>
  </r>
  <r>
    <s v="ORD200476"/>
    <x v="361"/>
    <s v="C77872"/>
    <x v="1"/>
    <n v="2"/>
    <n v="513.59"/>
    <s v="867 Main St"/>
    <x v="1"/>
    <x v="2"/>
    <s v="TRK19292184"/>
    <n v="4"/>
    <s v="FREESHIP"/>
    <x v="1"/>
    <n v="1027.18"/>
  </r>
  <r>
    <s v="ORD200477"/>
    <x v="376"/>
    <s v="C56564"/>
    <x v="1"/>
    <n v="2"/>
    <n v="253.74"/>
    <s v="481 Main St"/>
    <x v="1"/>
    <x v="0"/>
    <s v="TRK13166044"/>
    <n v="5"/>
    <s v="SAVE10"/>
    <x v="4"/>
    <n v="507.48"/>
  </r>
  <r>
    <s v="ORD200478"/>
    <x v="377"/>
    <s v="C16758"/>
    <x v="2"/>
    <n v="3"/>
    <n v="62.77"/>
    <s v="914 Main St"/>
    <x v="3"/>
    <x v="0"/>
    <s v="TRK88544431"/>
    <n v="6"/>
    <s v="FREESHIP"/>
    <x v="1"/>
    <n v="188.31"/>
  </r>
  <r>
    <s v="ORD200479"/>
    <x v="378"/>
    <s v="C87011"/>
    <x v="0"/>
    <n v="4"/>
    <n v="25.29"/>
    <s v="943 Main St"/>
    <x v="2"/>
    <x v="4"/>
    <s v="TRK21429162"/>
    <n v="8"/>
    <s v="NO COUPON CODE"/>
    <x v="4"/>
    <n v="101.16"/>
  </r>
  <r>
    <s v="ORD200480"/>
    <x v="379"/>
    <s v="C21147"/>
    <x v="3"/>
    <n v="1"/>
    <n v="335.1"/>
    <s v="126 Main St"/>
    <x v="0"/>
    <x v="4"/>
    <s v="TRK93171043"/>
    <n v="6"/>
    <s v="FREESHIP"/>
    <x v="1"/>
    <n v="335.1"/>
  </r>
  <r>
    <s v="ORD200481"/>
    <x v="295"/>
    <s v="C94568"/>
    <x v="5"/>
    <n v="4"/>
    <n v="484.85"/>
    <s v="317 Main St"/>
    <x v="0"/>
    <x v="3"/>
    <s v="TRK58653915"/>
    <n v="5"/>
    <s v="WINTER15"/>
    <x v="1"/>
    <n v="1939.4"/>
  </r>
  <r>
    <s v="ORD200482"/>
    <x v="380"/>
    <s v="C35852"/>
    <x v="0"/>
    <n v="3"/>
    <n v="381.41"/>
    <s v="989 Main St"/>
    <x v="1"/>
    <x v="4"/>
    <s v="TRK22302049"/>
    <n v="6"/>
    <s v="NO COUPON CODE"/>
    <x v="0"/>
    <n v="1144.23"/>
  </r>
  <r>
    <s v="ORD200483"/>
    <x v="381"/>
    <s v="C66462"/>
    <x v="1"/>
    <n v="5"/>
    <n v="347.92"/>
    <s v="982 Main St"/>
    <x v="4"/>
    <x v="4"/>
    <s v="TRK52743700"/>
    <n v="6"/>
    <s v="WINTER15"/>
    <x v="4"/>
    <n v="1739.6"/>
  </r>
  <r>
    <s v="ORD200484"/>
    <x v="382"/>
    <s v="C29092"/>
    <x v="3"/>
    <n v="4"/>
    <n v="15.01"/>
    <s v="767 Main St"/>
    <x v="4"/>
    <x v="1"/>
    <s v="TRK90455340"/>
    <n v="6"/>
    <s v="NO COUPON CODE"/>
    <x v="3"/>
    <n v="60.04"/>
  </r>
  <r>
    <s v="ORD200485"/>
    <x v="383"/>
    <s v="C46651"/>
    <x v="3"/>
    <n v="3"/>
    <n v="404.79"/>
    <s v="764 Main St"/>
    <x v="4"/>
    <x v="0"/>
    <s v="TRK67679195"/>
    <n v="6"/>
    <s v="SAVE10"/>
    <x v="0"/>
    <n v="1214.3699999999999"/>
  </r>
  <r>
    <s v="ORD200486"/>
    <x v="384"/>
    <s v="C88981"/>
    <x v="4"/>
    <n v="4"/>
    <n v="611.26"/>
    <s v="558 Main St"/>
    <x v="4"/>
    <x v="0"/>
    <s v="TRK75267873"/>
    <n v="5"/>
    <s v="SAVE10"/>
    <x v="1"/>
    <n v="2445.04"/>
  </r>
  <r>
    <s v="ORD200487"/>
    <x v="338"/>
    <s v="C40136"/>
    <x v="4"/>
    <n v="3"/>
    <n v="346.52"/>
    <s v="211 Main St"/>
    <x v="2"/>
    <x v="4"/>
    <s v="TRK92924852"/>
    <n v="3"/>
    <s v="SAVE10"/>
    <x v="4"/>
    <n v="1039.56"/>
  </r>
  <r>
    <s v="ORD200488"/>
    <x v="194"/>
    <s v="C81573"/>
    <x v="3"/>
    <n v="1"/>
    <n v="36.65"/>
    <s v="556 Main St"/>
    <x v="1"/>
    <x v="1"/>
    <s v="TRK96522994"/>
    <n v="1"/>
    <s v="WINTER15"/>
    <x v="2"/>
    <n v="36.65"/>
  </r>
  <r>
    <s v="ORD200489"/>
    <x v="189"/>
    <s v="C11940"/>
    <x v="2"/>
    <n v="3"/>
    <n v="149.34"/>
    <s v="589 Main St"/>
    <x v="3"/>
    <x v="1"/>
    <s v="TRK85466461"/>
    <n v="7"/>
    <s v="WINTER15"/>
    <x v="2"/>
    <n v="448.02"/>
  </r>
  <r>
    <s v="ORD200490"/>
    <x v="319"/>
    <s v="C50097"/>
    <x v="3"/>
    <n v="5"/>
    <n v="467.81"/>
    <s v="539 Main St"/>
    <x v="1"/>
    <x v="1"/>
    <s v="TRK62785150"/>
    <n v="10"/>
    <s v="NO COUPON CODE"/>
    <x v="3"/>
    <n v="2339.0500000000002"/>
  </r>
  <r>
    <s v="ORD200491"/>
    <x v="314"/>
    <s v="C98168"/>
    <x v="1"/>
    <n v="5"/>
    <n v="420.7"/>
    <s v="481 Main St"/>
    <x v="4"/>
    <x v="4"/>
    <s v="TRK56423359"/>
    <n v="5"/>
    <s v="WINTER15"/>
    <x v="3"/>
    <n v="2103.5"/>
  </r>
  <r>
    <s v="ORD200492"/>
    <x v="385"/>
    <s v="C39074"/>
    <x v="5"/>
    <n v="5"/>
    <n v="606.52"/>
    <s v="103 Main St"/>
    <x v="0"/>
    <x v="0"/>
    <s v="TRK13027036"/>
    <n v="6"/>
    <s v="SAVE10"/>
    <x v="0"/>
    <n v="3032.6"/>
  </r>
  <r>
    <s v="ORD200493"/>
    <x v="386"/>
    <s v="C84908"/>
    <x v="1"/>
    <n v="1"/>
    <n v="420.26"/>
    <s v="372 Main St"/>
    <x v="2"/>
    <x v="4"/>
    <s v="TRK64135970"/>
    <n v="4"/>
    <s v="FREESHIP"/>
    <x v="3"/>
    <n v="420.26"/>
  </r>
  <r>
    <s v="ORD200494"/>
    <x v="45"/>
    <s v="C64516"/>
    <x v="5"/>
    <n v="3"/>
    <n v="505.79"/>
    <s v="459 Main St"/>
    <x v="0"/>
    <x v="4"/>
    <s v="TRK63920573"/>
    <n v="3"/>
    <s v="FREESHIP"/>
    <x v="1"/>
    <n v="1517.37"/>
  </r>
  <r>
    <s v="ORD200495"/>
    <x v="85"/>
    <s v="C63827"/>
    <x v="1"/>
    <n v="4"/>
    <n v="493.73"/>
    <s v="947 Main St"/>
    <x v="0"/>
    <x v="4"/>
    <s v="TRK35730581"/>
    <n v="6"/>
    <s v="SAVE10"/>
    <x v="3"/>
    <n v="1974.92"/>
  </r>
  <r>
    <s v="ORD200496"/>
    <x v="387"/>
    <s v="C93618"/>
    <x v="4"/>
    <n v="3"/>
    <n v="201.21"/>
    <s v="249 Main St"/>
    <x v="1"/>
    <x v="1"/>
    <s v="TRK66129326"/>
    <n v="3"/>
    <s v="SAVE10"/>
    <x v="4"/>
    <n v="603.63"/>
  </r>
  <r>
    <s v="ORD200497"/>
    <x v="101"/>
    <s v="C93948"/>
    <x v="4"/>
    <n v="3"/>
    <n v="112.29"/>
    <s v="454 Main St"/>
    <x v="3"/>
    <x v="0"/>
    <s v="TRK77358113"/>
    <n v="6"/>
    <s v="NO COUPON CODE"/>
    <x v="4"/>
    <n v="336.87"/>
  </r>
  <r>
    <s v="ORD200498"/>
    <x v="219"/>
    <s v="C73961"/>
    <x v="2"/>
    <n v="4"/>
    <n v="132.56"/>
    <s v="306 Main St"/>
    <x v="4"/>
    <x v="2"/>
    <s v="TRK32607173"/>
    <n v="8"/>
    <s v="WINTER15"/>
    <x v="0"/>
    <n v="530.24"/>
  </r>
  <r>
    <s v="ORD200499"/>
    <x v="388"/>
    <s v="C18138"/>
    <x v="4"/>
    <n v="3"/>
    <n v="539.46"/>
    <s v="520 Main St"/>
    <x v="2"/>
    <x v="0"/>
    <s v="TRK20289483"/>
    <n v="4"/>
    <s v="SAVE10"/>
    <x v="3"/>
    <n v="1618.38"/>
  </r>
  <r>
    <s v="ORD200500"/>
    <x v="158"/>
    <s v="C79475"/>
    <x v="5"/>
    <n v="5"/>
    <n v="508.59"/>
    <s v="169 Main St"/>
    <x v="4"/>
    <x v="2"/>
    <s v="TRK42168516"/>
    <n v="8"/>
    <s v="WINTER15"/>
    <x v="3"/>
    <n v="2542.9499999999998"/>
  </r>
  <r>
    <s v="ORD200501"/>
    <x v="389"/>
    <s v="C88546"/>
    <x v="6"/>
    <n v="4"/>
    <n v="203.46"/>
    <s v="226 Main St"/>
    <x v="2"/>
    <x v="4"/>
    <s v="TRK19867754"/>
    <n v="7"/>
    <s v="SAVE10"/>
    <x v="1"/>
    <n v="813.84"/>
  </r>
  <r>
    <s v="ORD200502"/>
    <x v="390"/>
    <s v="C69332"/>
    <x v="0"/>
    <n v="3"/>
    <n v="565.25"/>
    <s v="745 Main St"/>
    <x v="0"/>
    <x v="2"/>
    <s v="TRK65718848"/>
    <n v="7"/>
    <s v="SAVE10"/>
    <x v="2"/>
    <n v="1695.75"/>
  </r>
  <r>
    <s v="ORD200503"/>
    <x v="303"/>
    <s v="C64554"/>
    <x v="2"/>
    <n v="3"/>
    <n v="136.84"/>
    <s v="498 Main St"/>
    <x v="1"/>
    <x v="4"/>
    <s v="TRK95384568"/>
    <n v="4"/>
    <s v="FREESHIP"/>
    <x v="3"/>
    <n v="410.52"/>
  </r>
  <r>
    <s v="ORD200504"/>
    <x v="113"/>
    <s v="C11676"/>
    <x v="0"/>
    <n v="2"/>
    <n v="464.5"/>
    <s v="805 Main St"/>
    <x v="1"/>
    <x v="1"/>
    <s v="TRK35726395"/>
    <n v="2"/>
    <s v="WINTER15"/>
    <x v="0"/>
    <n v="929"/>
  </r>
  <r>
    <s v="ORD200505"/>
    <x v="236"/>
    <s v="C36014"/>
    <x v="4"/>
    <n v="2"/>
    <n v="434.97"/>
    <s v="558 Main St"/>
    <x v="1"/>
    <x v="0"/>
    <s v="TRK97246526"/>
    <n v="7"/>
    <s v="NO COUPON CODE"/>
    <x v="2"/>
    <n v="869.94"/>
  </r>
  <r>
    <s v="ORD200506"/>
    <x v="284"/>
    <s v="C23279"/>
    <x v="0"/>
    <n v="2"/>
    <n v="43.67"/>
    <s v="696 Main St"/>
    <x v="4"/>
    <x v="2"/>
    <s v="TRK58039693"/>
    <n v="4"/>
    <s v="WINTER15"/>
    <x v="0"/>
    <n v="87.34"/>
  </r>
  <r>
    <s v="ORD200507"/>
    <x v="176"/>
    <s v="C86481"/>
    <x v="1"/>
    <n v="1"/>
    <n v="171.59"/>
    <s v="546 Main St"/>
    <x v="2"/>
    <x v="4"/>
    <s v="TRK87513944"/>
    <n v="5"/>
    <s v="WINTER15"/>
    <x v="2"/>
    <n v="171.59"/>
  </r>
  <r>
    <s v="ORD200508"/>
    <x v="391"/>
    <s v="C39550"/>
    <x v="1"/>
    <n v="1"/>
    <n v="558.27"/>
    <s v="976 Main St"/>
    <x v="1"/>
    <x v="3"/>
    <s v="TRK24120267"/>
    <n v="1"/>
    <s v="NO COUPON CODE"/>
    <x v="1"/>
    <n v="558.27"/>
  </r>
  <r>
    <s v="ORD200509"/>
    <x v="392"/>
    <s v="C68937"/>
    <x v="5"/>
    <n v="2"/>
    <n v="425.03"/>
    <s v="560 Main St"/>
    <x v="4"/>
    <x v="2"/>
    <s v="TRK31908657"/>
    <n v="2"/>
    <s v="WINTER15"/>
    <x v="4"/>
    <n v="850.06"/>
  </r>
  <r>
    <s v="ORD200510"/>
    <x v="393"/>
    <s v="C72533"/>
    <x v="4"/>
    <n v="1"/>
    <n v="376.76"/>
    <s v="389 Main St"/>
    <x v="0"/>
    <x v="3"/>
    <s v="TRK51288986"/>
    <n v="5"/>
    <s v="SAVE10"/>
    <x v="2"/>
    <n v="376.76"/>
  </r>
  <r>
    <s v="ORD200511"/>
    <x v="394"/>
    <s v="C11415"/>
    <x v="0"/>
    <n v="5"/>
    <n v="575.24"/>
    <s v="267 Main St"/>
    <x v="4"/>
    <x v="3"/>
    <s v="TRK65061457"/>
    <n v="7"/>
    <s v="WINTER15"/>
    <x v="2"/>
    <n v="2876.2"/>
  </r>
  <r>
    <s v="ORD200512"/>
    <x v="395"/>
    <s v="C14114"/>
    <x v="6"/>
    <n v="3"/>
    <n v="568.02"/>
    <s v="856 Main St"/>
    <x v="1"/>
    <x v="4"/>
    <s v="TRK63290700"/>
    <n v="3"/>
    <s v="FREESHIP"/>
    <x v="0"/>
    <n v="1704.06"/>
  </r>
  <r>
    <s v="ORD200513"/>
    <x v="396"/>
    <s v="C64128"/>
    <x v="2"/>
    <n v="3"/>
    <n v="94.88"/>
    <s v="533 Main St"/>
    <x v="3"/>
    <x v="0"/>
    <s v="TRK37053575"/>
    <n v="8"/>
    <s v="NO COUPON CODE"/>
    <x v="1"/>
    <n v="284.64"/>
  </r>
  <r>
    <s v="ORD200514"/>
    <x v="397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x v="369"/>
    <s v="C67561"/>
    <x v="1"/>
    <n v="3"/>
    <n v="553.52"/>
    <s v="160 Main St"/>
    <x v="3"/>
    <x v="0"/>
    <s v="TRK75900717"/>
    <n v="4"/>
    <s v="FREESHIP"/>
    <x v="3"/>
    <n v="1660.56"/>
  </r>
  <r>
    <s v="ORD200516"/>
    <x v="158"/>
    <s v="C47022"/>
    <x v="0"/>
    <n v="3"/>
    <n v="166.99"/>
    <s v="208 Main St"/>
    <x v="4"/>
    <x v="2"/>
    <s v="TRK28855040"/>
    <n v="8"/>
    <s v="NO COUPON CODE"/>
    <x v="3"/>
    <n v="500.97"/>
  </r>
  <r>
    <s v="ORD200517"/>
    <x v="398"/>
    <s v="C55205"/>
    <x v="2"/>
    <n v="4"/>
    <n v="198.35"/>
    <s v="943 Main St"/>
    <x v="4"/>
    <x v="1"/>
    <s v="TRK88141634"/>
    <n v="7"/>
    <s v="FREESHIP"/>
    <x v="4"/>
    <n v="793.4"/>
  </r>
  <r>
    <s v="ORD200518"/>
    <x v="399"/>
    <s v="C30686"/>
    <x v="4"/>
    <n v="4"/>
    <n v="403.58"/>
    <s v="319 Main St"/>
    <x v="1"/>
    <x v="4"/>
    <s v="TRK59807273"/>
    <n v="9"/>
    <s v="SAVE10"/>
    <x v="1"/>
    <n v="1614.32"/>
  </r>
  <r>
    <s v="ORD200519"/>
    <x v="400"/>
    <s v="C71797"/>
    <x v="5"/>
    <n v="4"/>
    <n v="464.29"/>
    <s v="941 Main St"/>
    <x v="0"/>
    <x v="2"/>
    <s v="TRK66010667"/>
    <n v="5"/>
    <s v="SAVE10"/>
    <x v="2"/>
    <n v="1857.16"/>
  </r>
  <r>
    <s v="ORD200520"/>
    <x v="401"/>
    <s v="C66332"/>
    <x v="0"/>
    <n v="3"/>
    <n v="635.98"/>
    <s v="959 Main St"/>
    <x v="4"/>
    <x v="2"/>
    <s v="TRK27063398"/>
    <n v="5"/>
    <s v="NO COUPON CODE"/>
    <x v="1"/>
    <n v="1907.94"/>
  </r>
  <r>
    <s v="ORD200521"/>
    <x v="402"/>
    <s v="C82318"/>
    <x v="1"/>
    <n v="1"/>
    <n v="528.05999999999995"/>
    <s v="991 Main St"/>
    <x v="2"/>
    <x v="0"/>
    <s v="TRK37534165"/>
    <n v="2"/>
    <s v="NO COUPON CODE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x v="403"/>
    <s v="C65083"/>
    <x v="6"/>
    <n v="4"/>
    <n v="657.79"/>
    <s v="652 Main St"/>
    <x v="2"/>
    <x v="2"/>
    <s v="TRK60937148"/>
    <n v="6"/>
    <s v="WINTER15"/>
    <x v="4"/>
    <n v="2631.16"/>
  </r>
  <r>
    <s v="ORD200524"/>
    <x v="385"/>
    <s v="C44778"/>
    <x v="1"/>
    <n v="1"/>
    <n v="153"/>
    <s v="103 Main St"/>
    <x v="2"/>
    <x v="2"/>
    <s v="TRK92617366"/>
    <n v="4"/>
    <s v="NO COUPON CODE"/>
    <x v="1"/>
    <n v="153"/>
  </r>
  <r>
    <s v="ORD200525"/>
    <x v="404"/>
    <s v="C54499"/>
    <x v="0"/>
    <n v="1"/>
    <n v="668.48"/>
    <s v="160 Main St"/>
    <x v="0"/>
    <x v="0"/>
    <s v="TRK18061555"/>
    <n v="1"/>
    <s v="SAVE10"/>
    <x v="2"/>
    <n v="668.48"/>
  </r>
  <r>
    <s v="ORD200526"/>
    <x v="405"/>
    <s v="C91201"/>
    <x v="6"/>
    <n v="2"/>
    <n v="46.5"/>
    <s v="837 Main St"/>
    <x v="4"/>
    <x v="2"/>
    <s v="TRK63526023"/>
    <n v="7"/>
    <s v="WINTER15"/>
    <x v="4"/>
    <n v="93"/>
  </r>
  <r>
    <s v="ORD200527"/>
    <x v="406"/>
    <s v="C27202"/>
    <x v="3"/>
    <n v="5"/>
    <n v="653.47"/>
    <s v="967 Main St"/>
    <x v="2"/>
    <x v="1"/>
    <s v="TRK75406128"/>
    <n v="10"/>
    <s v="SAVE10"/>
    <x v="1"/>
    <n v="3267.35"/>
  </r>
  <r>
    <s v="ORD200528"/>
    <x v="407"/>
    <s v="C32011"/>
    <x v="3"/>
    <n v="1"/>
    <n v="628.89"/>
    <s v="686 Main St"/>
    <x v="2"/>
    <x v="2"/>
    <s v="TRK70997744"/>
    <n v="2"/>
    <s v="SAVE10"/>
    <x v="1"/>
    <n v="628.89"/>
  </r>
  <r>
    <s v="ORD200529"/>
    <x v="158"/>
    <s v="C21181"/>
    <x v="2"/>
    <n v="2"/>
    <n v="675.1"/>
    <s v="938 Main St"/>
    <x v="4"/>
    <x v="4"/>
    <s v="TRK50363421"/>
    <n v="4"/>
    <s v="FREESHIP"/>
    <x v="4"/>
    <n v="1350.2"/>
  </r>
  <r>
    <s v="ORD200530"/>
    <x v="408"/>
    <s v="C98450"/>
    <x v="3"/>
    <n v="4"/>
    <n v="89.41"/>
    <s v="613 Main St"/>
    <x v="1"/>
    <x v="4"/>
    <s v="TRK14809530"/>
    <n v="9"/>
    <s v="NO COUPON CODE"/>
    <x v="4"/>
    <n v="357.64"/>
  </r>
  <r>
    <s v="ORD200531"/>
    <x v="367"/>
    <s v="C64502"/>
    <x v="6"/>
    <n v="5"/>
    <n v="320.01"/>
    <s v="722 Main St"/>
    <x v="3"/>
    <x v="3"/>
    <s v="TRK14914388"/>
    <n v="6"/>
    <s v="NO COUPON CODE"/>
    <x v="1"/>
    <n v="1600.05"/>
  </r>
  <r>
    <s v="ORD200532"/>
    <x v="120"/>
    <s v="C47365"/>
    <x v="5"/>
    <n v="2"/>
    <n v="41"/>
    <s v="369 Main St"/>
    <x v="1"/>
    <x v="3"/>
    <s v="TRK42207882"/>
    <n v="7"/>
    <s v="NO COUPON CODE"/>
    <x v="2"/>
    <n v="82"/>
  </r>
  <r>
    <s v="ORD200533"/>
    <x v="409"/>
    <s v="C66349"/>
    <x v="6"/>
    <n v="1"/>
    <n v="565.85"/>
    <s v="715 Main St"/>
    <x v="3"/>
    <x v="2"/>
    <s v="TRK63550793"/>
    <n v="1"/>
    <s v="FREESHIP"/>
    <x v="3"/>
    <n v="565.85"/>
  </r>
  <r>
    <s v="ORD200534"/>
    <x v="309"/>
    <s v="C73289"/>
    <x v="3"/>
    <n v="3"/>
    <n v="648.59"/>
    <s v="906 Main St"/>
    <x v="0"/>
    <x v="1"/>
    <s v="TRK70872738"/>
    <n v="4"/>
    <s v="SAVE10"/>
    <x v="2"/>
    <n v="1945.77"/>
  </r>
  <r>
    <s v="ORD200535"/>
    <x v="25"/>
    <s v="C48649"/>
    <x v="0"/>
    <n v="3"/>
    <n v="68.12"/>
    <s v="332 Main St"/>
    <x v="1"/>
    <x v="1"/>
    <s v="TRK45821445"/>
    <n v="3"/>
    <s v="FREESHIP"/>
    <x v="2"/>
    <n v="204.36"/>
  </r>
  <r>
    <s v="ORD200536"/>
    <x v="410"/>
    <s v="C18724"/>
    <x v="3"/>
    <n v="1"/>
    <n v="616.1"/>
    <s v="124 Main St"/>
    <x v="4"/>
    <x v="2"/>
    <s v="TRK52508861"/>
    <n v="6"/>
    <s v="NO COUPON CODE"/>
    <x v="2"/>
    <n v="616.1"/>
  </r>
  <r>
    <s v="ORD200537"/>
    <x v="411"/>
    <s v="C68553"/>
    <x v="2"/>
    <n v="3"/>
    <n v="247.47"/>
    <s v="385 Main St"/>
    <x v="1"/>
    <x v="3"/>
    <s v="TRK58218971"/>
    <n v="4"/>
    <s v="SAVE10"/>
    <x v="3"/>
    <n v="742.41"/>
  </r>
  <r>
    <s v="ORD200538"/>
    <x v="75"/>
    <s v="C61280"/>
    <x v="1"/>
    <n v="3"/>
    <n v="490.74"/>
    <s v="100 Main St"/>
    <x v="4"/>
    <x v="0"/>
    <s v="TRK95487711"/>
    <n v="3"/>
    <s v="WINTER15"/>
    <x v="2"/>
    <n v="1472.22"/>
  </r>
  <r>
    <s v="ORD200539"/>
    <x v="403"/>
    <s v="C53277"/>
    <x v="6"/>
    <n v="3"/>
    <n v="531.72"/>
    <s v="473 Main St"/>
    <x v="3"/>
    <x v="3"/>
    <s v="TRK17653832"/>
    <n v="7"/>
    <s v="SAVE10"/>
    <x v="4"/>
    <n v="1595.16"/>
  </r>
  <r>
    <s v="ORD200540"/>
    <x v="412"/>
    <s v="C87281"/>
    <x v="5"/>
    <n v="5"/>
    <n v="648.65"/>
    <s v="852 Main St"/>
    <x v="1"/>
    <x v="4"/>
    <s v="TRK81765057"/>
    <n v="7"/>
    <s v="NO COUPON CODE"/>
    <x v="1"/>
    <n v="3243.25"/>
  </r>
  <r>
    <s v="ORD200541"/>
    <x v="413"/>
    <s v="C69009"/>
    <x v="4"/>
    <n v="5"/>
    <n v="456.06"/>
    <s v="879 Main St"/>
    <x v="4"/>
    <x v="4"/>
    <s v="TRK61295842"/>
    <n v="10"/>
    <s v="NO COUPON CODE"/>
    <x v="0"/>
    <n v="2280.3000000000002"/>
  </r>
  <r>
    <s v="ORD200542"/>
    <x v="414"/>
    <s v="C49726"/>
    <x v="2"/>
    <n v="1"/>
    <n v="17.98"/>
    <s v="934 Main St"/>
    <x v="4"/>
    <x v="1"/>
    <s v="TRK20739460"/>
    <n v="6"/>
    <s v="FREESHIP"/>
    <x v="2"/>
    <n v="17.98"/>
  </r>
  <r>
    <s v="ORD200543"/>
    <x v="415"/>
    <s v="C37531"/>
    <x v="6"/>
    <n v="5"/>
    <n v="269.86"/>
    <s v="354 Main St"/>
    <x v="4"/>
    <x v="0"/>
    <s v="TRK93877673"/>
    <n v="6"/>
    <s v="WINTER15"/>
    <x v="3"/>
    <n v="1349.3"/>
  </r>
  <r>
    <s v="ORD200544"/>
    <x v="416"/>
    <s v="C48713"/>
    <x v="4"/>
    <n v="5"/>
    <n v="31.96"/>
    <s v="373 Main St"/>
    <x v="2"/>
    <x v="2"/>
    <s v="TRK96334419"/>
    <n v="5"/>
    <s v="FREESHIP"/>
    <x v="1"/>
    <n v="159.80000000000001"/>
  </r>
  <r>
    <s v="ORD200545"/>
    <x v="263"/>
    <s v="C74138"/>
    <x v="0"/>
    <n v="2"/>
    <n v="98.47"/>
    <s v="964 Main St"/>
    <x v="4"/>
    <x v="2"/>
    <s v="TRK74091695"/>
    <n v="3"/>
    <s v="NO COUPON CODE"/>
    <x v="0"/>
    <n v="196.94"/>
  </r>
  <r>
    <s v="ORD200546"/>
    <x v="417"/>
    <s v="C82399"/>
    <x v="0"/>
    <n v="1"/>
    <n v="158.68"/>
    <s v="928 Main St"/>
    <x v="2"/>
    <x v="2"/>
    <s v="TRK77177284"/>
    <n v="6"/>
    <s v="WINTER15"/>
    <x v="0"/>
    <n v="158.68"/>
  </r>
  <r>
    <s v="ORD200547"/>
    <x v="38"/>
    <s v="C40427"/>
    <x v="1"/>
    <n v="1"/>
    <n v="613.98"/>
    <s v="411 Main St"/>
    <x v="1"/>
    <x v="3"/>
    <s v="TRK25392280"/>
    <n v="4"/>
    <s v="FREESHIP"/>
    <x v="3"/>
    <n v="613.98"/>
  </r>
  <r>
    <s v="ORD200548"/>
    <x v="8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x v="86"/>
    <s v="C34266"/>
    <x v="0"/>
    <n v="4"/>
    <n v="629.88"/>
    <s v="550 Main St"/>
    <x v="0"/>
    <x v="1"/>
    <s v="TRK56378197"/>
    <n v="8"/>
    <s v="WINTER15"/>
    <x v="0"/>
    <n v="2519.52"/>
  </r>
  <r>
    <s v="ORD200550"/>
    <x v="418"/>
    <s v="C97485"/>
    <x v="5"/>
    <n v="4"/>
    <n v="228.91"/>
    <s v="573 Main St"/>
    <x v="4"/>
    <x v="0"/>
    <s v="TRK81794737"/>
    <n v="4"/>
    <s v="FREESHIP"/>
    <x v="4"/>
    <n v="915.64"/>
  </r>
  <r>
    <s v="ORD200551"/>
    <x v="419"/>
    <s v="C23947"/>
    <x v="5"/>
    <n v="1"/>
    <n v="120.98"/>
    <s v="353 Main St"/>
    <x v="0"/>
    <x v="3"/>
    <s v="TRK74812710"/>
    <n v="6"/>
    <s v="WINTER15"/>
    <x v="2"/>
    <n v="120.98"/>
  </r>
  <r>
    <s v="ORD200552"/>
    <x v="420"/>
    <s v="C21665"/>
    <x v="3"/>
    <n v="4"/>
    <n v="425.18"/>
    <s v="560 Main St"/>
    <x v="1"/>
    <x v="2"/>
    <s v="TRK29890761"/>
    <n v="8"/>
    <s v="WINTER15"/>
    <x v="3"/>
    <n v="1700.72"/>
  </r>
  <r>
    <s v="ORD200553"/>
    <x v="421"/>
    <s v="C82550"/>
    <x v="1"/>
    <n v="2"/>
    <n v="333.83"/>
    <s v="828 Main St"/>
    <x v="3"/>
    <x v="1"/>
    <s v="TRK74103758"/>
    <n v="4"/>
    <s v="FREESHIP"/>
    <x v="1"/>
    <n v="667.66"/>
  </r>
  <r>
    <s v="ORD200554"/>
    <x v="422"/>
    <s v="C61943"/>
    <x v="5"/>
    <n v="2"/>
    <n v="492.9"/>
    <s v="610 Main St"/>
    <x v="4"/>
    <x v="2"/>
    <s v="TRK66126496"/>
    <n v="5"/>
    <s v="FREESHIP"/>
    <x v="0"/>
    <n v="985.8"/>
  </r>
  <r>
    <s v="ORD200555"/>
    <x v="33"/>
    <s v="C88933"/>
    <x v="2"/>
    <n v="1"/>
    <n v="92.04"/>
    <s v="333 Main St"/>
    <x v="4"/>
    <x v="0"/>
    <s v="TRK89306964"/>
    <n v="2"/>
    <s v="NO COUPON CODE"/>
    <x v="3"/>
    <n v="92.04"/>
  </r>
  <r>
    <s v="ORD200556"/>
    <x v="423"/>
    <s v="C30923"/>
    <x v="5"/>
    <n v="1"/>
    <n v="654.27"/>
    <s v="932 Main St"/>
    <x v="3"/>
    <x v="4"/>
    <s v="TRK82609328"/>
    <n v="2"/>
    <s v="SAVE10"/>
    <x v="3"/>
    <n v="654.27"/>
  </r>
  <r>
    <s v="ORD200557"/>
    <x v="282"/>
    <s v="C56969"/>
    <x v="2"/>
    <n v="1"/>
    <n v="56.2"/>
    <s v="130 Main St"/>
    <x v="0"/>
    <x v="4"/>
    <s v="TRK40719215"/>
    <n v="1"/>
    <s v="WINTER15"/>
    <x v="3"/>
    <n v="56.2"/>
  </r>
  <r>
    <s v="ORD200558"/>
    <x v="424"/>
    <s v="C76766"/>
    <x v="1"/>
    <n v="4"/>
    <n v="628.12"/>
    <s v="485 Main St"/>
    <x v="1"/>
    <x v="3"/>
    <s v="TRK32052962"/>
    <n v="6"/>
    <s v="WINTER15"/>
    <x v="0"/>
    <n v="2512.48"/>
  </r>
  <r>
    <s v="ORD200559"/>
    <x v="116"/>
    <s v="C22981"/>
    <x v="6"/>
    <n v="3"/>
    <n v="157.4"/>
    <s v="454 Main St"/>
    <x v="0"/>
    <x v="1"/>
    <s v="TRK10115285"/>
    <n v="7"/>
    <s v="WINTER15"/>
    <x v="2"/>
    <n v="472.2"/>
  </r>
  <r>
    <s v="ORD200560"/>
    <x v="425"/>
    <s v="C33634"/>
    <x v="0"/>
    <n v="4"/>
    <n v="588.85"/>
    <s v="524 Main St"/>
    <x v="3"/>
    <x v="4"/>
    <s v="TRK93168008"/>
    <n v="7"/>
    <s v="NO COUPON CODE"/>
    <x v="2"/>
    <n v="2355.4"/>
  </r>
  <r>
    <s v="ORD200561"/>
    <x v="425"/>
    <s v="C96822"/>
    <x v="4"/>
    <n v="2"/>
    <n v="494.78"/>
    <s v="198 Main St"/>
    <x v="1"/>
    <x v="0"/>
    <s v="TRK89180077"/>
    <n v="2"/>
    <s v="NO COUPON CODE"/>
    <x v="4"/>
    <n v="989.56"/>
  </r>
  <r>
    <s v="ORD200562"/>
    <x v="426"/>
    <s v="C76675"/>
    <x v="5"/>
    <n v="3"/>
    <n v="663.93"/>
    <s v="922 Main St"/>
    <x v="3"/>
    <x v="2"/>
    <s v="TRK28043915"/>
    <n v="6"/>
    <s v="FREESHIP"/>
    <x v="2"/>
    <n v="1991.79"/>
  </r>
  <r>
    <s v="ORD200563"/>
    <x v="427"/>
    <s v="C12039"/>
    <x v="5"/>
    <n v="1"/>
    <n v="132.68"/>
    <s v="844 Main St"/>
    <x v="0"/>
    <x v="2"/>
    <s v="TRK68645763"/>
    <n v="1"/>
    <s v="SAVE10"/>
    <x v="1"/>
    <n v="132.68"/>
  </r>
  <r>
    <s v="ORD200564"/>
    <x v="428"/>
    <s v="C93309"/>
    <x v="6"/>
    <n v="5"/>
    <n v="364.28"/>
    <s v="734 Main St"/>
    <x v="2"/>
    <x v="1"/>
    <s v="TRK99446987"/>
    <n v="5"/>
    <s v="WINTER15"/>
    <x v="4"/>
    <n v="1821.4"/>
  </r>
  <r>
    <s v="ORD200565"/>
    <x v="429"/>
    <s v="C62042"/>
    <x v="2"/>
    <n v="5"/>
    <n v="307.98"/>
    <s v="214 Main St"/>
    <x v="1"/>
    <x v="4"/>
    <s v="TRK42605492"/>
    <n v="10"/>
    <s v="NO COUPON CODE"/>
    <x v="3"/>
    <n v="1539.9"/>
  </r>
  <r>
    <s v="ORD200566"/>
    <x v="171"/>
    <s v="C83223"/>
    <x v="1"/>
    <n v="4"/>
    <n v="162.71"/>
    <s v="167 Main St"/>
    <x v="4"/>
    <x v="1"/>
    <s v="TRK54339083"/>
    <n v="7"/>
    <s v="FREESHIP"/>
    <x v="2"/>
    <n v="650.84"/>
  </r>
  <r>
    <s v="ORD200567"/>
    <x v="43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x v="401"/>
    <s v="C29072"/>
    <x v="5"/>
    <n v="2"/>
    <n v="343.99"/>
    <s v="312 Main St"/>
    <x v="1"/>
    <x v="3"/>
    <s v="TRK72334047"/>
    <n v="4"/>
    <s v="NO COUPON CODE"/>
    <x v="4"/>
    <n v="687.98"/>
  </r>
  <r>
    <s v="ORD200569"/>
    <x v="29"/>
    <s v="C25783"/>
    <x v="6"/>
    <n v="5"/>
    <n v="250.68"/>
    <s v="672 Main St"/>
    <x v="4"/>
    <x v="0"/>
    <s v="TRK13289741"/>
    <n v="8"/>
    <s v="SAVE10"/>
    <x v="0"/>
    <n v="1253.4000000000001"/>
  </r>
  <r>
    <s v="ORD200570"/>
    <x v="431"/>
    <s v="C63727"/>
    <x v="6"/>
    <n v="2"/>
    <n v="362.14"/>
    <s v="122 Main St"/>
    <x v="0"/>
    <x v="4"/>
    <s v="TRK13611021"/>
    <n v="2"/>
    <s v="SAVE10"/>
    <x v="0"/>
    <n v="724.28"/>
  </r>
  <r>
    <s v="ORD200571"/>
    <x v="432"/>
    <s v="C42365"/>
    <x v="2"/>
    <n v="1"/>
    <n v="214.08"/>
    <s v="867 Main St"/>
    <x v="3"/>
    <x v="2"/>
    <s v="TRK39563288"/>
    <n v="2"/>
    <s v="WINTER15"/>
    <x v="4"/>
    <n v="214.08"/>
  </r>
  <r>
    <s v="ORD200572"/>
    <x v="433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x v="261"/>
    <s v="C13205"/>
    <x v="3"/>
    <n v="5"/>
    <n v="421.42"/>
    <s v="522 Main St"/>
    <x v="0"/>
    <x v="1"/>
    <s v="TRK30686578"/>
    <n v="7"/>
    <s v="NO COUPON CODE"/>
    <x v="0"/>
    <n v="2107.1"/>
  </r>
  <r>
    <s v="ORD200574"/>
    <x v="434"/>
    <s v="C29685"/>
    <x v="3"/>
    <n v="5"/>
    <n v="384.69"/>
    <s v="275 Main St"/>
    <x v="2"/>
    <x v="4"/>
    <s v="TRK97733212"/>
    <n v="6"/>
    <s v="FREESHIP"/>
    <x v="2"/>
    <n v="1923.45"/>
  </r>
  <r>
    <s v="ORD200575"/>
    <x v="323"/>
    <s v="C74005"/>
    <x v="3"/>
    <n v="5"/>
    <n v="448.15"/>
    <s v="528 Main St"/>
    <x v="3"/>
    <x v="2"/>
    <s v="TRK61640534"/>
    <n v="7"/>
    <s v="SAVE10"/>
    <x v="4"/>
    <n v="2240.75"/>
  </r>
  <r>
    <s v="ORD200576"/>
    <x v="382"/>
    <s v="C14457"/>
    <x v="5"/>
    <n v="5"/>
    <n v="79.08"/>
    <s v="747 Main St"/>
    <x v="4"/>
    <x v="4"/>
    <s v="TRK42517811"/>
    <n v="8"/>
    <s v="NO COUPON CODE"/>
    <x v="3"/>
    <n v="395.4"/>
  </r>
  <r>
    <s v="ORD200577"/>
    <x v="55"/>
    <s v="C77046"/>
    <x v="2"/>
    <n v="4"/>
    <n v="185.41"/>
    <s v="967 Main St"/>
    <x v="1"/>
    <x v="2"/>
    <s v="TRK44401497"/>
    <n v="9"/>
    <s v="WINTER15"/>
    <x v="4"/>
    <n v="741.64"/>
  </r>
  <r>
    <s v="ORD200578"/>
    <x v="84"/>
    <s v="C50415"/>
    <x v="0"/>
    <n v="5"/>
    <n v="566.07000000000005"/>
    <s v="587 Main St"/>
    <x v="2"/>
    <x v="3"/>
    <s v="TRK41345634"/>
    <n v="6"/>
    <s v="SAVE10"/>
    <x v="0"/>
    <n v="2830.35"/>
  </r>
  <r>
    <s v="ORD200579"/>
    <x v="243"/>
    <s v="C73999"/>
    <x v="2"/>
    <n v="2"/>
    <n v="187.88"/>
    <s v="413 Main St"/>
    <x v="1"/>
    <x v="0"/>
    <s v="TRK67919507"/>
    <n v="4"/>
    <s v="WINTER15"/>
    <x v="3"/>
    <n v="375.76"/>
  </r>
  <r>
    <s v="ORD200580"/>
    <x v="414"/>
    <s v="C71076"/>
    <x v="0"/>
    <n v="2"/>
    <n v="255.99"/>
    <s v="340 Main St"/>
    <x v="2"/>
    <x v="3"/>
    <s v="TRK65148292"/>
    <n v="4"/>
    <s v="SAVE10"/>
    <x v="0"/>
    <n v="511.98"/>
  </r>
  <r>
    <s v="ORD200581"/>
    <x v="435"/>
    <s v="C44674"/>
    <x v="5"/>
    <n v="1"/>
    <n v="627.34"/>
    <s v="942 Main St"/>
    <x v="1"/>
    <x v="3"/>
    <s v="TRK87158684"/>
    <n v="1"/>
    <s v="NO COUPON CODE"/>
    <x v="1"/>
    <n v="627.34"/>
  </r>
  <r>
    <s v="ORD200582"/>
    <x v="436"/>
    <s v="C15228"/>
    <x v="2"/>
    <n v="3"/>
    <n v="474.14"/>
    <s v="558 Main St"/>
    <x v="3"/>
    <x v="0"/>
    <s v="TRK33860620"/>
    <n v="8"/>
    <s v="WINTER15"/>
    <x v="4"/>
    <n v="1422.42"/>
  </r>
  <r>
    <s v="ORD200583"/>
    <x v="437"/>
    <s v="C27072"/>
    <x v="3"/>
    <n v="3"/>
    <n v="154.37"/>
    <s v="996 Main St"/>
    <x v="3"/>
    <x v="3"/>
    <s v="TRK29750379"/>
    <n v="4"/>
    <s v="NO COUPON CODE"/>
    <x v="0"/>
    <n v="463.11"/>
  </r>
  <r>
    <s v="ORD200584"/>
    <x v="438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x v="38"/>
    <s v="C91486"/>
    <x v="2"/>
    <n v="4"/>
    <n v="67.08"/>
    <s v="907 Main St"/>
    <x v="4"/>
    <x v="2"/>
    <s v="TRK79617136"/>
    <n v="8"/>
    <s v="WINTER15"/>
    <x v="4"/>
    <n v="268.32"/>
  </r>
  <r>
    <s v="ORD200586"/>
    <x v="337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x v="439"/>
    <s v="C18820"/>
    <x v="0"/>
    <n v="5"/>
    <n v="514.6"/>
    <s v="347 Main St"/>
    <x v="3"/>
    <x v="3"/>
    <s v="TRK91547425"/>
    <n v="10"/>
    <s v="FREESHIP"/>
    <x v="0"/>
    <n v="2573"/>
  </r>
  <r>
    <s v="ORD200588"/>
    <x v="440"/>
    <s v="C61849"/>
    <x v="0"/>
    <n v="4"/>
    <n v="577.82000000000005"/>
    <s v="811 Main St"/>
    <x v="2"/>
    <x v="3"/>
    <s v="TRK47613918"/>
    <n v="9"/>
    <s v="NO COUPON CODE"/>
    <x v="4"/>
    <n v="2311.2800000000002"/>
  </r>
  <r>
    <s v="ORD200589"/>
    <x v="441"/>
    <s v="C84041"/>
    <x v="5"/>
    <n v="2"/>
    <n v="500.8"/>
    <s v="900 Main St"/>
    <x v="4"/>
    <x v="3"/>
    <s v="TRK84920444"/>
    <n v="3"/>
    <s v="FREESHIP"/>
    <x v="1"/>
    <n v="1001.6"/>
  </r>
  <r>
    <s v="ORD200590"/>
    <x v="442"/>
    <s v="C55757"/>
    <x v="4"/>
    <n v="2"/>
    <n v="461.13"/>
    <s v="175 Main St"/>
    <x v="3"/>
    <x v="2"/>
    <s v="TRK27356242"/>
    <n v="4"/>
    <s v="NO COUPON CODE"/>
    <x v="2"/>
    <n v="922.26"/>
  </r>
  <r>
    <s v="ORD200591"/>
    <x v="249"/>
    <s v="C18187"/>
    <x v="5"/>
    <n v="1"/>
    <n v="605.28"/>
    <s v="470 Main St"/>
    <x v="3"/>
    <x v="0"/>
    <s v="TRK50528185"/>
    <n v="3"/>
    <s v="FREESHIP"/>
    <x v="1"/>
    <n v="605.28"/>
  </r>
  <r>
    <s v="ORD200592"/>
    <x v="234"/>
    <s v="C42306"/>
    <x v="1"/>
    <n v="3"/>
    <n v="204.27"/>
    <s v="938 Main St"/>
    <x v="1"/>
    <x v="2"/>
    <s v="TRK15499648"/>
    <n v="4"/>
    <s v="NO COUPON CODE"/>
    <x v="4"/>
    <n v="612.81000000000006"/>
  </r>
  <r>
    <s v="ORD200593"/>
    <x v="443"/>
    <s v="C51024"/>
    <x v="0"/>
    <n v="1"/>
    <n v="489.8"/>
    <s v="636 Main St"/>
    <x v="3"/>
    <x v="0"/>
    <s v="TRK31375086"/>
    <n v="4"/>
    <s v="FREESHIP"/>
    <x v="3"/>
    <n v="489.8"/>
  </r>
  <r>
    <s v="ORD200594"/>
    <x v="444"/>
    <s v="C40140"/>
    <x v="1"/>
    <n v="5"/>
    <n v="72.64"/>
    <s v="598 Main St"/>
    <x v="2"/>
    <x v="1"/>
    <s v="TRK12671989"/>
    <n v="7"/>
    <s v="NO COUPON CODE"/>
    <x v="2"/>
    <n v="363.2"/>
  </r>
  <r>
    <s v="ORD200595"/>
    <x v="445"/>
    <s v="C72596"/>
    <x v="4"/>
    <n v="2"/>
    <n v="385.16"/>
    <s v="491 Main St"/>
    <x v="1"/>
    <x v="4"/>
    <s v="TRK83870446"/>
    <n v="7"/>
    <s v="SAVE10"/>
    <x v="2"/>
    <n v="770.32"/>
  </r>
  <r>
    <s v="ORD200596"/>
    <x v="439"/>
    <s v="C91805"/>
    <x v="6"/>
    <n v="3"/>
    <n v="606.41"/>
    <s v="653 Main St"/>
    <x v="0"/>
    <x v="2"/>
    <s v="TRK34504030"/>
    <n v="7"/>
    <s v="FREESHIP"/>
    <x v="3"/>
    <n v="1819.23"/>
  </r>
  <r>
    <s v="ORD200597"/>
    <x v="446"/>
    <s v="C40538"/>
    <x v="6"/>
    <n v="2"/>
    <n v="211.82"/>
    <s v="700 Main St"/>
    <x v="3"/>
    <x v="1"/>
    <s v="TRK29821356"/>
    <n v="4"/>
    <s v="WINTER15"/>
    <x v="2"/>
    <n v="423.64"/>
  </r>
  <r>
    <s v="ORD200598"/>
    <x v="447"/>
    <s v="C60329"/>
    <x v="6"/>
    <n v="5"/>
    <n v="495.35"/>
    <s v="826 Main St"/>
    <x v="2"/>
    <x v="4"/>
    <s v="TRK59069987"/>
    <n v="5"/>
    <s v="NO COUPON CODE"/>
    <x v="3"/>
    <n v="2476.75"/>
  </r>
  <r>
    <s v="ORD200599"/>
    <x v="30"/>
    <s v="C28740"/>
    <x v="3"/>
    <n v="3"/>
    <n v="556.99"/>
    <s v="123 Main St"/>
    <x v="1"/>
    <x v="1"/>
    <s v="TRK33642221"/>
    <n v="4"/>
    <s v="FREESHIP"/>
    <x v="3"/>
    <n v="1670.97"/>
  </r>
  <r>
    <s v="ORD200600"/>
    <x v="68"/>
    <s v="C87051"/>
    <x v="4"/>
    <n v="1"/>
    <n v="72.31"/>
    <s v="460 Main St"/>
    <x v="3"/>
    <x v="1"/>
    <s v="TRK82056333"/>
    <n v="1"/>
    <s v="FREESHIP"/>
    <x v="3"/>
    <n v="72.31"/>
  </r>
  <r>
    <s v="ORD200601"/>
    <x v="276"/>
    <s v="C12479"/>
    <x v="0"/>
    <n v="5"/>
    <n v="24.82"/>
    <s v="529 Main St"/>
    <x v="2"/>
    <x v="0"/>
    <s v="TRK73935314"/>
    <n v="10"/>
    <s v="NO COUPON CODE"/>
    <x v="1"/>
    <n v="124.1"/>
  </r>
  <r>
    <s v="ORD200602"/>
    <x v="448"/>
    <s v="C35852"/>
    <x v="2"/>
    <n v="4"/>
    <n v="26.04"/>
    <s v="982 Main St"/>
    <x v="1"/>
    <x v="4"/>
    <s v="TRK64660134"/>
    <n v="5"/>
    <s v="SAVE10"/>
    <x v="0"/>
    <n v="104.16"/>
  </r>
  <r>
    <s v="ORD200603"/>
    <x v="449"/>
    <s v="C26223"/>
    <x v="2"/>
    <n v="1"/>
    <n v="657.07"/>
    <s v="800 Main St"/>
    <x v="4"/>
    <x v="4"/>
    <s v="TRK50900547"/>
    <n v="4"/>
    <s v="SAVE10"/>
    <x v="4"/>
    <n v="657.07"/>
  </r>
  <r>
    <s v="ORD200604"/>
    <x v="450"/>
    <s v="C99214"/>
    <x v="3"/>
    <n v="3"/>
    <n v="32.619999999999997"/>
    <s v="252 Main St"/>
    <x v="0"/>
    <x v="3"/>
    <s v="TRK81368481"/>
    <n v="6"/>
    <s v="NO COUPON CODE"/>
    <x v="3"/>
    <n v="97.859999999999985"/>
  </r>
  <r>
    <s v="ORD200605"/>
    <x v="451"/>
    <s v="C49605"/>
    <x v="0"/>
    <n v="2"/>
    <n v="228.91"/>
    <s v="892 Main St"/>
    <x v="0"/>
    <x v="0"/>
    <s v="TRK95620066"/>
    <n v="4"/>
    <s v="SAVE10"/>
    <x v="1"/>
    <n v="457.82"/>
  </r>
  <r>
    <s v="ORD200606"/>
    <x v="119"/>
    <s v="C85018"/>
    <x v="5"/>
    <n v="3"/>
    <n v="274.75"/>
    <s v="783 Main St"/>
    <x v="4"/>
    <x v="1"/>
    <s v="TRK54128886"/>
    <n v="3"/>
    <s v="SAVE10"/>
    <x v="4"/>
    <n v="824.25"/>
  </r>
  <r>
    <s v="ORD200607"/>
    <x v="133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x v="25"/>
    <s v="C32956"/>
    <x v="5"/>
    <n v="5"/>
    <n v="543.16"/>
    <s v="788 Main St"/>
    <x v="1"/>
    <x v="1"/>
    <s v="TRK73140103"/>
    <n v="6"/>
    <s v="SAVE10"/>
    <x v="0"/>
    <n v="2715.8"/>
  </r>
  <r>
    <s v="ORD200609"/>
    <x v="109"/>
    <s v="C41137"/>
    <x v="3"/>
    <n v="3"/>
    <n v="449.13"/>
    <s v="809 Main St"/>
    <x v="4"/>
    <x v="2"/>
    <s v="TRK52732162"/>
    <n v="5"/>
    <s v="WINTER15"/>
    <x v="1"/>
    <n v="1347.39"/>
  </r>
  <r>
    <s v="ORD200610"/>
    <x v="452"/>
    <s v="C60361"/>
    <x v="6"/>
    <n v="5"/>
    <n v="389.62"/>
    <s v="623 Main St"/>
    <x v="4"/>
    <x v="2"/>
    <s v="TRK83566924"/>
    <n v="7"/>
    <s v="FREESHIP"/>
    <x v="3"/>
    <n v="1948.1"/>
  </r>
  <r>
    <s v="ORD200611"/>
    <x v="453"/>
    <s v="C36688"/>
    <x v="6"/>
    <n v="1"/>
    <n v="305.17"/>
    <s v="700 Main St"/>
    <x v="3"/>
    <x v="2"/>
    <s v="TRK35720426"/>
    <n v="3"/>
    <s v="WINTER15"/>
    <x v="1"/>
    <n v="305.17"/>
  </r>
  <r>
    <s v="ORD200612"/>
    <x v="454"/>
    <s v="C51811"/>
    <x v="3"/>
    <n v="3"/>
    <n v="445.12"/>
    <s v="339 Main St"/>
    <x v="3"/>
    <x v="1"/>
    <s v="TRK82377939"/>
    <n v="8"/>
    <s v="NO COUPON CODE"/>
    <x v="4"/>
    <n v="1335.36"/>
  </r>
  <r>
    <s v="ORD200613"/>
    <x v="36"/>
    <s v="C62405"/>
    <x v="5"/>
    <n v="2"/>
    <n v="230.36"/>
    <s v="154 Main St"/>
    <x v="1"/>
    <x v="2"/>
    <s v="TRK14721763"/>
    <n v="4"/>
    <s v="WINTER15"/>
    <x v="2"/>
    <n v="460.72"/>
  </r>
  <r>
    <s v="ORD200614"/>
    <x v="455"/>
    <s v="C77363"/>
    <x v="1"/>
    <n v="1"/>
    <n v="96.81"/>
    <s v="807 Main St"/>
    <x v="3"/>
    <x v="1"/>
    <s v="TRK12439827"/>
    <n v="3"/>
    <s v="NO COUPON CODE"/>
    <x v="1"/>
    <n v="96.81"/>
  </r>
  <r>
    <s v="ORD200615"/>
    <x v="456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x v="457"/>
    <s v="C43919"/>
    <x v="2"/>
    <n v="3"/>
    <n v="601.6"/>
    <s v="984 Main St"/>
    <x v="2"/>
    <x v="1"/>
    <s v="TRK73113192"/>
    <n v="7"/>
    <s v="SAVE10"/>
    <x v="3"/>
    <n v="1804.8"/>
  </r>
  <r>
    <s v="ORD200617"/>
    <x v="458"/>
    <s v="C57093"/>
    <x v="2"/>
    <n v="3"/>
    <n v="184.47"/>
    <s v="834 Main St"/>
    <x v="1"/>
    <x v="1"/>
    <s v="TRK75469057"/>
    <n v="4"/>
    <s v="NO COUPON CODE"/>
    <x v="1"/>
    <n v="553.41"/>
  </r>
  <r>
    <s v="ORD200618"/>
    <x v="459"/>
    <s v="C50565"/>
    <x v="2"/>
    <n v="1"/>
    <n v="411.34"/>
    <s v="399 Main St"/>
    <x v="0"/>
    <x v="2"/>
    <s v="TRK97981418"/>
    <n v="5"/>
    <s v="NO COUPON CODE"/>
    <x v="0"/>
    <n v="411.34"/>
  </r>
  <r>
    <s v="ORD200619"/>
    <x v="424"/>
    <s v="C38845"/>
    <x v="5"/>
    <n v="1"/>
    <n v="532.89"/>
    <s v="764 Main St"/>
    <x v="3"/>
    <x v="4"/>
    <s v="TRK47637374"/>
    <n v="2"/>
    <s v="NO COUPON CODE"/>
    <x v="1"/>
    <n v="532.89"/>
  </r>
  <r>
    <s v="ORD200620"/>
    <x v="460"/>
    <s v="C84834"/>
    <x v="2"/>
    <n v="3"/>
    <n v="136.34"/>
    <s v="866 Main St"/>
    <x v="0"/>
    <x v="2"/>
    <s v="TRK90136001"/>
    <n v="8"/>
    <s v="SAVE10"/>
    <x v="1"/>
    <n v="409.02"/>
  </r>
  <r>
    <s v="ORD200621"/>
    <x v="356"/>
    <s v="C37455"/>
    <x v="1"/>
    <n v="5"/>
    <n v="476.01"/>
    <s v="146 Main St"/>
    <x v="2"/>
    <x v="3"/>
    <s v="TRK82685594"/>
    <n v="7"/>
    <s v="WINTER15"/>
    <x v="4"/>
    <n v="2380.0500000000002"/>
  </r>
  <r>
    <s v="ORD200622"/>
    <x v="461"/>
    <s v="C27078"/>
    <x v="6"/>
    <n v="5"/>
    <n v="236.38"/>
    <s v="128 Main St"/>
    <x v="2"/>
    <x v="2"/>
    <s v="TRK89314307"/>
    <n v="7"/>
    <s v="NO COUPON CODE"/>
    <x v="3"/>
    <n v="1181.9000000000001"/>
  </r>
  <r>
    <s v="ORD200623"/>
    <x v="379"/>
    <s v="C91941"/>
    <x v="4"/>
    <n v="3"/>
    <n v="396"/>
    <s v="269 Main St"/>
    <x v="3"/>
    <x v="1"/>
    <s v="TRK21330732"/>
    <n v="4"/>
    <s v="FREESHIP"/>
    <x v="0"/>
    <n v="1188"/>
  </r>
  <r>
    <s v="ORD200624"/>
    <x v="462"/>
    <s v="C25967"/>
    <x v="2"/>
    <n v="5"/>
    <n v="341.96"/>
    <s v="747 Main St"/>
    <x v="0"/>
    <x v="3"/>
    <s v="TRK88559278"/>
    <n v="6"/>
    <s v="NO COUPON CODE"/>
    <x v="2"/>
    <n v="1709.8"/>
  </r>
  <r>
    <s v="ORD200625"/>
    <x v="463"/>
    <s v="C22123"/>
    <x v="2"/>
    <n v="1"/>
    <n v="672.89"/>
    <s v="519 Main St"/>
    <x v="2"/>
    <x v="4"/>
    <s v="TRK43250279"/>
    <n v="1"/>
    <s v="WINTER15"/>
    <x v="2"/>
    <n v="672.89"/>
  </r>
  <r>
    <s v="ORD200626"/>
    <x v="417"/>
    <s v="C45671"/>
    <x v="2"/>
    <n v="2"/>
    <n v="657.48"/>
    <s v="769 Main St"/>
    <x v="1"/>
    <x v="0"/>
    <s v="TRK18179773"/>
    <n v="5"/>
    <s v="SAVE10"/>
    <x v="1"/>
    <n v="1314.96"/>
  </r>
  <r>
    <s v="ORD200627"/>
    <x v="464"/>
    <s v="C53334"/>
    <x v="3"/>
    <n v="3"/>
    <n v="498.68"/>
    <s v="879 Main St"/>
    <x v="1"/>
    <x v="2"/>
    <s v="TRK31724421"/>
    <n v="4"/>
    <s v="FREESHIP"/>
    <x v="2"/>
    <n v="1496.04"/>
  </r>
  <r>
    <s v="ORD200628"/>
    <x v="465"/>
    <s v="C18717"/>
    <x v="4"/>
    <n v="5"/>
    <n v="558.63"/>
    <s v="861 Main St"/>
    <x v="4"/>
    <x v="4"/>
    <s v="TRK58568806"/>
    <n v="8"/>
    <s v="FREESHIP"/>
    <x v="1"/>
    <n v="2793.15"/>
  </r>
  <r>
    <s v="ORD200629"/>
    <x v="466"/>
    <s v="C50137"/>
    <x v="1"/>
    <n v="3"/>
    <n v="19.73"/>
    <s v="840 Main St"/>
    <x v="1"/>
    <x v="4"/>
    <s v="TRK91836131"/>
    <n v="3"/>
    <s v="NO COUPON CODE"/>
    <x v="1"/>
    <n v="59.19"/>
  </r>
  <r>
    <s v="ORD200630"/>
    <x v="467"/>
    <s v="C51481"/>
    <x v="0"/>
    <n v="5"/>
    <n v="248.84"/>
    <s v="140 Main St"/>
    <x v="0"/>
    <x v="1"/>
    <s v="TRK33437701"/>
    <n v="10"/>
    <s v="NO COUPON CODE"/>
    <x v="0"/>
    <n v="1244.2"/>
  </r>
  <r>
    <s v="ORD200631"/>
    <x v="169"/>
    <s v="C99128"/>
    <x v="3"/>
    <n v="3"/>
    <n v="46.11"/>
    <s v="360 Main St"/>
    <x v="3"/>
    <x v="2"/>
    <s v="TRK32426808"/>
    <n v="5"/>
    <s v="WINTER15"/>
    <x v="1"/>
    <n v="138.33000000000001"/>
  </r>
  <r>
    <s v="ORD200632"/>
    <x v="468"/>
    <s v="C67260"/>
    <x v="5"/>
    <n v="5"/>
    <n v="678.16"/>
    <s v="463 Main St"/>
    <x v="3"/>
    <x v="3"/>
    <s v="TRK38229104"/>
    <n v="7"/>
    <s v="WINTER15"/>
    <x v="3"/>
    <n v="3390.8"/>
  </r>
  <r>
    <s v="ORD200633"/>
    <x v="294"/>
    <s v="C79533"/>
    <x v="5"/>
    <n v="5"/>
    <n v="601.72"/>
    <s v="921 Main St"/>
    <x v="3"/>
    <x v="1"/>
    <s v="TRK54711422"/>
    <n v="5"/>
    <s v="WINTER15"/>
    <x v="0"/>
    <n v="3008.6"/>
  </r>
  <r>
    <s v="ORD200634"/>
    <x v="313"/>
    <s v="C66906"/>
    <x v="4"/>
    <n v="2"/>
    <n v="259.32"/>
    <s v="117 Main St"/>
    <x v="3"/>
    <x v="3"/>
    <s v="TRK31633755"/>
    <n v="2"/>
    <s v="WINTER15"/>
    <x v="1"/>
    <n v="518.64"/>
  </r>
  <r>
    <s v="ORD200635"/>
    <x v="141"/>
    <s v="C12818"/>
    <x v="3"/>
    <n v="3"/>
    <n v="63.68"/>
    <s v="434 Main St"/>
    <x v="4"/>
    <x v="2"/>
    <s v="TRK40879983"/>
    <n v="6"/>
    <s v="NO COUPON CODE"/>
    <x v="3"/>
    <n v="191.04"/>
  </r>
  <r>
    <s v="ORD200636"/>
    <x v="469"/>
    <s v="C60384"/>
    <x v="5"/>
    <n v="4"/>
    <n v="371.07"/>
    <s v="336 Main St"/>
    <x v="4"/>
    <x v="1"/>
    <s v="TRK92080037"/>
    <n v="7"/>
    <s v="WINTER15"/>
    <x v="3"/>
    <n v="1484.28"/>
  </r>
  <r>
    <s v="ORD200637"/>
    <x v="47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x v="3"/>
    <s v="C66840"/>
    <x v="2"/>
    <n v="4"/>
    <n v="578.27"/>
    <s v="547 Main St"/>
    <x v="1"/>
    <x v="3"/>
    <s v="TRK76929637"/>
    <n v="9"/>
    <s v="WINTER15"/>
    <x v="2"/>
    <n v="2313.08"/>
  </r>
  <r>
    <s v="ORD200639"/>
    <x v="325"/>
    <s v="C22534"/>
    <x v="3"/>
    <n v="1"/>
    <n v="529.19000000000005"/>
    <s v="391 Main St"/>
    <x v="4"/>
    <x v="1"/>
    <s v="TRK17415798"/>
    <n v="5"/>
    <s v="NO COUPON CODE"/>
    <x v="1"/>
    <n v="529.19000000000005"/>
  </r>
  <r>
    <s v="ORD200640"/>
    <x v="2"/>
    <s v="C46509"/>
    <x v="3"/>
    <n v="2"/>
    <n v="587.49"/>
    <s v="647 Main St"/>
    <x v="3"/>
    <x v="2"/>
    <s v="TRK24241664"/>
    <n v="6"/>
    <s v="SAVE10"/>
    <x v="1"/>
    <n v="1174.98"/>
  </r>
  <r>
    <s v="ORD200641"/>
    <x v="471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x v="472"/>
    <s v="C15063"/>
    <x v="3"/>
    <n v="5"/>
    <n v="85.22"/>
    <s v="527 Main St"/>
    <x v="2"/>
    <x v="1"/>
    <s v="TRK10329390"/>
    <n v="7"/>
    <s v="FREESHIP"/>
    <x v="2"/>
    <n v="426.1"/>
  </r>
  <r>
    <s v="ORD200643"/>
    <x v="360"/>
    <s v="C77122"/>
    <x v="5"/>
    <n v="1"/>
    <n v="438.37"/>
    <s v="647 Main St"/>
    <x v="4"/>
    <x v="1"/>
    <s v="TRK75814880"/>
    <n v="4"/>
    <s v="SAVE10"/>
    <x v="1"/>
    <n v="438.37"/>
  </r>
  <r>
    <s v="ORD200644"/>
    <x v="375"/>
    <s v="C86524"/>
    <x v="3"/>
    <n v="2"/>
    <n v="366.23"/>
    <s v="961 Main St"/>
    <x v="4"/>
    <x v="0"/>
    <s v="TRK62490506"/>
    <n v="2"/>
    <s v="WINTER15"/>
    <x v="2"/>
    <n v="732.46"/>
  </r>
  <r>
    <s v="ORD200645"/>
    <x v="315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x v="122"/>
    <s v="C98761"/>
    <x v="3"/>
    <n v="4"/>
    <n v="498.51"/>
    <s v="804 Main St"/>
    <x v="0"/>
    <x v="0"/>
    <s v="TRK43262630"/>
    <n v="4"/>
    <s v="SAVE10"/>
    <x v="4"/>
    <n v="1994.04"/>
  </r>
  <r>
    <s v="ORD200647"/>
    <x v="473"/>
    <s v="C54409"/>
    <x v="6"/>
    <n v="3"/>
    <n v="339.39"/>
    <s v="667 Main St"/>
    <x v="4"/>
    <x v="2"/>
    <s v="TRK67671316"/>
    <n v="7"/>
    <s v="FREESHIP"/>
    <x v="4"/>
    <n v="1018.17"/>
  </r>
  <r>
    <s v="ORD200648"/>
    <x v="474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x v="475"/>
    <s v="C45899"/>
    <x v="0"/>
    <n v="2"/>
    <n v="642.98"/>
    <s v="153 Main St"/>
    <x v="0"/>
    <x v="2"/>
    <s v="TRK32932093"/>
    <n v="7"/>
    <s v="FREESHIP"/>
    <x v="2"/>
    <n v="1285.96"/>
  </r>
  <r>
    <s v="ORD200650"/>
    <x v="419"/>
    <s v="C74499"/>
    <x v="6"/>
    <n v="2"/>
    <n v="372.23"/>
    <s v="518 Main St"/>
    <x v="3"/>
    <x v="3"/>
    <s v="TRK93767278"/>
    <n v="7"/>
    <s v="SAVE10"/>
    <x v="2"/>
    <n v="744.46"/>
  </r>
  <r>
    <s v="ORD200651"/>
    <x v="476"/>
    <s v="C81192"/>
    <x v="3"/>
    <n v="3"/>
    <n v="646.34"/>
    <s v="429 Main St"/>
    <x v="0"/>
    <x v="4"/>
    <s v="TRK76931118"/>
    <n v="5"/>
    <s v="NO COUPON CODE"/>
    <x v="4"/>
    <n v="1939.02"/>
  </r>
  <r>
    <s v="ORD200652"/>
    <x v="477"/>
    <s v="C71473"/>
    <x v="3"/>
    <n v="5"/>
    <n v="341.84"/>
    <s v="328 Main St"/>
    <x v="1"/>
    <x v="0"/>
    <s v="TRK94857335"/>
    <n v="8"/>
    <s v="FREESHIP"/>
    <x v="0"/>
    <n v="1709.2"/>
  </r>
  <r>
    <s v="ORD200653"/>
    <x v="402"/>
    <s v="C59338"/>
    <x v="4"/>
    <n v="3"/>
    <n v="690.3"/>
    <s v="747 Main St"/>
    <x v="2"/>
    <x v="0"/>
    <s v="TRK12902764"/>
    <n v="6"/>
    <s v="WINTER15"/>
    <x v="4"/>
    <n v="2070.9"/>
  </r>
  <r>
    <s v="ORD200654"/>
    <x v="439"/>
    <s v="C62661"/>
    <x v="2"/>
    <n v="3"/>
    <n v="382.37"/>
    <s v="863 Main St"/>
    <x v="0"/>
    <x v="2"/>
    <s v="TRK25748100"/>
    <n v="8"/>
    <s v="NO COUPON CODE"/>
    <x v="0"/>
    <n v="1147.1099999999999"/>
  </r>
  <r>
    <s v="ORD200655"/>
    <x v="369"/>
    <s v="C22101"/>
    <x v="3"/>
    <n v="2"/>
    <n v="132.6"/>
    <s v="262 Main St"/>
    <x v="0"/>
    <x v="1"/>
    <s v="TRK70711522"/>
    <n v="4"/>
    <s v="WINTER15"/>
    <x v="2"/>
    <n v="265.2"/>
  </r>
  <r>
    <s v="ORD200656"/>
    <x v="343"/>
    <s v="C51404"/>
    <x v="0"/>
    <n v="2"/>
    <n v="189.06"/>
    <s v="835 Main St"/>
    <x v="3"/>
    <x v="0"/>
    <s v="TRK85682500"/>
    <n v="7"/>
    <s v="SAVE10"/>
    <x v="3"/>
    <n v="378.12"/>
  </r>
  <r>
    <s v="ORD200657"/>
    <x v="478"/>
    <s v="C19384"/>
    <x v="2"/>
    <n v="4"/>
    <n v="87.79"/>
    <s v="532 Main St"/>
    <x v="4"/>
    <x v="1"/>
    <s v="TRK33207064"/>
    <n v="6"/>
    <s v="FREESHIP"/>
    <x v="0"/>
    <n v="351.16"/>
  </r>
  <r>
    <s v="ORD200658"/>
    <x v="479"/>
    <s v="C86864"/>
    <x v="4"/>
    <n v="2"/>
    <n v="46.36"/>
    <s v="670 Main St"/>
    <x v="3"/>
    <x v="2"/>
    <s v="TRK15323191"/>
    <n v="4"/>
    <s v="SAVE10"/>
    <x v="4"/>
    <n v="92.72"/>
  </r>
  <r>
    <s v="ORD200659"/>
    <x v="480"/>
    <s v="C24301"/>
    <x v="1"/>
    <n v="2"/>
    <n v="642.04"/>
    <s v="964 Main St"/>
    <x v="3"/>
    <x v="3"/>
    <s v="TRK55000075"/>
    <n v="4"/>
    <s v="WINTER15"/>
    <x v="2"/>
    <n v="1284.08"/>
  </r>
  <r>
    <s v="ORD200660"/>
    <x v="481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x v="252"/>
    <s v="C63657"/>
    <x v="2"/>
    <n v="3"/>
    <n v="424.89"/>
    <s v="116 Main St"/>
    <x v="0"/>
    <x v="1"/>
    <s v="TRK86378984"/>
    <n v="6"/>
    <s v="FREESHIP"/>
    <x v="4"/>
    <n v="1274.67"/>
  </r>
  <r>
    <s v="ORD200662"/>
    <x v="423"/>
    <s v="C98332"/>
    <x v="5"/>
    <n v="3"/>
    <n v="438.89"/>
    <s v="985 Main St"/>
    <x v="4"/>
    <x v="2"/>
    <s v="TRK85744797"/>
    <n v="3"/>
    <s v="NO COUPON CODE"/>
    <x v="3"/>
    <n v="1316.67"/>
  </r>
  <r>
    <s v="ORD200663"/>
    <x v="116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x v="36"/>
    <s v="C14847"/>
    <x v="5"/>
    <n v="4"/>
    <n v="194.75"/>
    <s v="188 Main St"/>
    <x v="4"/>
    <x v="0"/>
    <s v="TRK46492755"/>
    <n v="5"/>
    <s v="NO COUPON CODE"/>
    <x v="3"/>
    <n v="779"/>
  </r>
  <r>
    <s v="ORD200665"/>
    <x v="468"/>
    <s v="C83653"/>
    <x v="2"/>
    <n v="4"/>
    <n v="231.26"/>
    <s v="253 Main St"/>
    <x v="1"/>
    <x v="0"/>
    <s v="TRK32619935"/>
    <n v="6"/>
    <s v="WINTER15"/>
    <x v="4"/>
    <n v="925.04"/>
  </r>
  <r>
    <s v="ORD200666"/>
    <x v="169"/>
    <s v="C35711"/>
    <x v="0"/>
    <n v="4"/>
    <n v="327.12"/>
    <s v="788 Main St"/>
    <x v="2"/>
    <x v="1"/>
    <s v="TRK45281495"/>
    <n v="4"/>
    <s v="NO COUPON CODE"/>
    <x v="2"/>
    <n v="1308.48"/>
  </r>
  <r>
    <s v="ORD200667"/>
    <x v="71"/>
    <s v="C10477"/>
    <x v="5"/>
    <n v="1"/>
    <n v="466.42"/>
    <s v="172 Main St"/>
    <x v="3"/>
    <x v="4"/>
    <s v="TRK41505339"/>
    <n v="5"/>
    <s v="SAVE10"/>
    <x v="2"/>
    <n v="466.42"/>
  </r>
  <r>
    <s v="ORD200668"/>
    <x v="482"/>
    <s v="C61257"/>
    <x v="0"/>
    <n v="2"/>
    <n v="253.67"/>
    <s v="981 Main St"/>
    <x v="4"/>
    <x v="2"/>
    <s v="TRK25226070"/>
    <n v="3"/>
    <s v="WINTER15"/>
    <x v="3"/>
    <n v="507.34"/>
  </r>
  <r>
    <s v="ORD200669"/>
    <x v="483"/>
    <s v="C60547"/>
    <x v="6"/>
    <n v="1"/>
    <n v="257"/>
    <s v="812 Main St"/>
    <x v="0"/>
    <x v="1"/>
    <s v="TRK65694249"/>
    <n v="5"/>
    <s v="NO COUPON CODE"/>
    <x v="1"/>
    <n v="257"/>
  </r>
  <r>
    <s v="ORD200670"/>
    <x v="171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x v="484"/>
    <s v="C49282"/>
    <x v="3"/>
    <n v="5"/>
    <n v="50.74"/>
    <s v="737 Main St"/>
    <x v="3"/>
    <x v="1"/>
    <s v="TRK88653901"/>
    <n v="7"/>
    <s v="WINTER15"/>
    <x v="4"/>
    <n v="253.7"/>
  </r>
  <r>
    <s v="ORD200672"/>
    <x v="221"/>
    <s v="C14017"/>
    <x v="1"/>
    <n v="2"/>
    <n v="624.16"/>
    <s v="984 Main St"/>
    <x v="0"/>
    <x v="0"/>
    <s v="TRK71009446"/>
    <n v="2"/>
    <s v="SAVE10"/>
    <x v="0"/>
    <n v="1248.32"/>
  </r>
  <r>
    <s v="ORD200673"/>
    <x v="485"/>
    <s v="C46504"/>
    <x v="2"/>
    <n v="2"/>
    <n v="372.92"/>
    <s v="131 Main St"/>
    <x v="2"/>
    <x v="3"/>
    <s v="TRK95024356"/>
    <n v="7"/>
    <s v="SAVE10"/>
    <x v="2"/>
    <n v="745.84"/>
  </r>
  <r>
    <s v="ORD200674"/>
    <x v="486"/>
    <s v="C56928"/>
    <x v="5"/>
    <n v="4"/>
    <n v="358.75"/>
    <s v="860 Main St"/>
    <x v="3"/>
    <x v="3"/>
    <s v="TRK57792939"/>
    <n v="9"/>
    <s v="SAVE10"/>
    <x v="3"/>
    <n v="1435"/>
  </r>
  <r>
    <s v="ORD200675"/>
    <x v="76"/>
    <s v="C97749"/>
    <x v="6"/>
    <n v="3"/>
    <n v="342.02"/>
    <s v="906 Main St"/>
    <x v="0"/>
    <x v="4"/>
    <s v="TRK90233116"/>
    <n v="5"/>
    <s v="NO COUPON CODE"/>
    <x v="2"/>
    <n v="1026.06"/>
  </r>
  <r>
    <s v="ORD200676"/>
    <x v="127"/>
    <s v="C90431"/>
    <x v="5"/>
    <n v="2"/>
    <n v="422.34"/>
    <s v="985 Main St"/>
    <x v="2"/>
    <x v="1"/>
    <s v="TRK44151723"/>
    <n v="4"/>
    <s v="FREESHIP"/>
    <x v="0"/>
    <n v="844.68"/>
  </r>
  <r>
    <s v="ORD200677"/>
    <x v="487"/>
    <s v="C56722"/>
    <x v="2"/>
    <n v="5"/>
    <n v="22.07"/>
    <s v="179 Main St"/>
    <x v="1"/>
    <x v="1"/>
    <s v="TRK78778569"/>
    <n v="7"/>
    <s v="FREESHIP"/>
    <x v="0"/>
    <n v="110.35"/>
  </r>
  <r>
    <s v="ORD200678"/>
    <x v="167"/>
    <s v="C40863"/>
    <x v="3"/>
    <n v="3"/>
    <n v="163.13"/>
    <s v="457 Main St"/>
    <x v="3"/>
    <x v="0"/>
    <s v="TRK20553345"/>
    <n v="5"/>
    <s v="WINTER15"/>
    <x v="3"/>
    <n v="489.39"/>
  </r>
  <r>
    <s v="ORD200679"/>
    <x v="488"/>
    <s v="C40798"/>
    <x v="2"/>
    <n v="3"/>
    <n v="360.66"/>
    <s v="304 Main St"/>
    <x v="1"/>
    <x v="2"/>
    <s v="TRK66106697"/>
    <n v="5"/>
    <s v="FREESHIP"/>
    <x v="0"/>
    <n v="1081.98"/>
  </r>
  <r>
    <s v="ORD200680"/>
    <x v="183"/>
    <s v="C16702"/>
    <x v="0"/>
    <n v="3"/>
    <n v="463.39"/>
    <s v="694 Main St"/>
    <x v="2"/>
    <x v="2"/>
    <s v="TRK16953491"/>
    <n v="3"/>
    <s v="NO COUPON CODE"/>
    <x v="3"/>
    <n v="1390.17"/>
  </r>
  <r>
    <s v="ORD200681"/>
    <x v="489"/>
    <s v="C38262"/>
    <x v="2"/>
    <n v="1"/>
    <n v="155.27000000000001"/>
    <s v="548 Main St"/>
    <x v="0"/>
    <x v="0"/>
    <s v="TRK47300502"/>
    <n v="6"/>
    <s v="NO COUPON CODE"/>
    <x v="2"/>
    <n v="155.27000000000001"/>
  </r>
  <r>
    <s v="ORD200682"/>
    <x v="363"/>
    <s v="C50274"/>
    <x v="0"/>
    <n v="3"/>
    <n v="509.42"/>
    <s v="449 Main St"/>
    <x v="2"/>
    <x v="1"/>
    <s v="TRK91729086"/>
    <n v="5"/>
    <s v="FREESHIP"/>
    <x v="4"/>
    <n v="1528.26"/>
  </r>
  <r>
    <s v="ORD200683"/>
    <x v="490"/>
    <s v="C91591"/>
    <x v="6"/>
    <n v="4"/>
    <n v="652.48"/>
    <s v="887 Main St"/>
    <x v="4"/>
    <x v="4"/>
    <s v="TRK23554043"/>
    <n v="5"/>
    <s v="FREESHIP"/>
    <x v="0"/>
    <n v="2609.92"/>
  </r>
  <r>
    <s v="ORD200684"/>
    <x v="491"/>
    <s v="C96583"/>
    <x v="4"/>
    <n v="4"/>
    <n v="34.840000000000003"/>
    <s v="288 Main St"/>
    <x v="2"/>
    <x v="0"/>
    <s v="TRK64353241"/>
    <n v="8"/>
    <s v="NO COUPON CODE"/>
    <x v="2"/>
    <n v="139.36000000000001"/>
  </r>
  <r>
    <s v="ORD200685"/>
    <x v="492"/>
    <s v="C64579"/>
    <x v="6"/>
    <n v="1"/>
    <n v="234.37"/>
    <s v="638 Main St"/>
    <x v="0"/>
    <x v="0"/>
    <s v="TRK10276565"/>
    <n v="5"/>
    <s v="FREESHIP"/>
    <x v="2"/>
    <n v="234.37"/>
  </r>
  <r>
    <s v="ORD200686"/>
    <x v="112"/>
    <s v="C41903"/>
    <x v="6"/>
    <n v="3"/>
    <n v="53.6"/>
    <s v="525 Main St"/>
    <x v="4"/>
    <x v="4"/>
    <s v="TRK59112382"/>
    <n v="4"/>
    <s v="WINTER15"/>
    <x v="3"/>
    <n v="160.80000000000001"/>
  </r>
  <r>
    <s v="ORD200687"/>
    <x v="493"/>
    <s v="C19742"/>
    <x v="2"/>
    <n v="1"/>
    <n v="332.09"/>
    <s v="408 Main St"/>
    <x v="3"/>
    <x v="2"/>
    <s v="TRK68845230"/>
    <n v="5"/>
    <s v="FREESHIP"/>
    <x v="0"/>
    <n v="332.09"/>
  </r>
  <r>
    <s v="ORD200688"/>
    <x v="26"/>
    <s v="C20077"/>
    <x v="0"/>
    <n v="4"/>
    <n v="593.22"/>
    <s v="154 Main St"/>
    <x v="2"/>
    <x v="1"/>
    <s v="TRK36415742"/>
    <n v="8"/>
    <s v="WINTER15"/>
    <x v="3"/>
    <n v="2372.88"/>
  </r>
  <r>
    <s v="ORD200689"/>
    <x v="193"/>
    <s v="C13186"/>
    <x v="2"/>
    <n v="2"/>
    <n v="444.84"/>
    <s v="787 Main St"/>
    <x v="1"/>
    <x v="0"/>
    <s v="TRK56967415"/>
    <n v="7"/>
    <s v="NO COUPON CODE"/>
    <x v="3"/>
    <n v="889.68"/>
  </r>
  <r>
    <s v="ORD200690"/>
    <x v="494"/>
    <s v="C29318"/>
    <x v="0"/>
    <n v="1"/>
    <n v="24.48"/>
    <s v="128 Main St"/>
    <x v="3"/>
    <x v="2"/>
    <s v="TRK88666721"/>
    <n v="1"/>
    <s v="NO COUPON CODE"/>
    <x v="0"/>
    <n v="24.48"/>
  </r>
  <r>
    <s v="ORD200691"/>
    <x v="167"/>
    <s v="C36137"/>
    <x v="5"/>
    <n v="3"/>
    <n v="239.08"/>
    <s v="396 Main St"/>
    <x v="4"/>
    <x v="0"/>
    <s v="TRK57376416"/>
    <n v="8"/>
    <s v="NO COUPON CODE"/>
    <x v="4"/>
    <n v="717.24"/>
  </r>
  <r>
    <s v="ORD200692"/>
    <x v="19"/>
    <s v="C25534"/>
    <x v="6"/>
    <n v="5"/>
    <n v="196.84"/>
    <s v="319 Main St"/>
    <x v="2"/>
    <x v="3"/>
    <s v="TRK68347402"/>
    <n v="5"/>
    <s v="WINTER15"/>
    <x v="0"/>
    <n v="984.2"/>
  </r>
  <r>
    <s v="ORD200693"/>
    <x v="495"/>
    <s v="C62070"/>
    <x v="0"/>
    <n v="1"/>
    <n v="176.58"/>
    <s v="674 Main St"/>
    <x v="0"/>
    <x v="2"/>
    <s v="TRK10267127"/>
    <n v="4"/>
    <s v="NO COUPON CODE"/>
    <x v="1"/>
    <n v="176.58"/>
  </r>
  <r>
    <s v="ORD200694"/>
    <x v="276"/>
    <s v="C92049"/>
    <x v="4"/>
    <n v="4"/>
    <n v="666.52"/>
    <s v="619 Main St"/>
    <x v="4"/>
    <x v="0"/>
    <s v="TRK32287092"/>
    <n v="8"/>
    <s v="FREESHIP"/>
    <x v="2"/>
    <n v="2666.08"/>
  </r>
  <r>
    <s v="ORD200695"/>
    <x v="432"/>
    <s v="C52604"/>
    <x v="4"/>
    <n v="5"/>
    <n v="101.3"/>
    <s v="553 Main St"/>
    <x v="1"/>
    <x v="0"/>
    <s v="TRK48839788"/>
    <n v="7"/>
    <s v="FREESHIP"/>
    <x v="2"/>
    <n v="506.5"/>
  </r>
  <r>
    <s v="ORD200696"/>
    <x v="226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x v="496"/>
    <s v="C27430"/>
    <x v="4"/>
    <n v="5"/>
    <n v="94.85"/>
    <s v="788 Main St"/>
    <x v="4"/>
    <x v="0"/>
    <s v="TRK45025840"/>
    <n v="6"/>
    <s v="WINTER15"/>
    <x v="2"/>
    <n v="474.25"/>
  </r>
  <r>
    <s v="ORD200698"/>
    <x v="0"/>
    <s v="C44366"/>
    <x v="5"/>
    <n v="2"/>
    <n v="388.22"/>
    <s v="169 Main St"/>
    <x v="4"/>
    <x v="3"/>
    <s v="TRK48658394"/>
    <n v="2"/>
    <s v="WINTER15"/>
    <x v="0"/>
    <n v="776.44"/>
  </r>
  <r>
    <s v="ORD200699"/>
    <x v="497"/>
    <s v="C36813"/>
    <x v="5"/>
    <n v="3"/>
    <n v="614.15"/>
    <s v="897 Main St"/>
    <x v="3"/>
    <x v="1"/>
    <s v="TRK84088900"/>
    <n v="3"/>
    <s v="NO COUPON CODE"/>
    <x v="3"/>
    <n v="1842.45"/>
  </r>
  <r>
    <s v="ORD200700"/>
    <x v="498"/>
    <s v="C40201"/>
    <x v="5"/>
    <n v="2"/>
    <n v="92.91"/>
    <s v="555 Main St"/>
    <x v="4"/>
    <x v="2"/>
    <s v="TRK30198779"/>
    <n v="3"/>
    <s v="WINTER15"/>
    <x v="0"/>
    <n v="185.82"/>
  </r>
  <r>
    <s v="ORD200701"/>
    <x v="499"/>
    <s v="C75456"/>
    <x v="0"/>
    <n v="3"/>
    <n v="92.22"/>
    <s v="115 Main St"/>
    <x v="2"/>
    <x v="3"/>
    <s v="TRK90519490"/>
    <n v="5"/>
    <s v="FREESHIP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s v="NO COUPON CODE"/>
    <x v="2"/>
    <n v="1687.65"/>
  </r>
  <r>
    <s v="ORD200703"/>
    <x v="500"/>
    <s v="C89336"/>
    <x v="6"/>
    <n v="1"/>
    <n v="92.79"/>
    <s v="799 Main St"/>
    <x v="4"/>
    <x v="4"/>
    <s v="TRK47665103"/>
    <n v="3"/>
    <s v="WINTER15"/>
    <x v="2"/>
    <n v="92.79"/>
  </r>
  <r>
    <s v="ORD200704"/>
    <x v="301"/>
    <s v="C96034"/>
    <x v="6"/>
    <n v="4"/>
    <n v="30.27"/>
    <s v="819 Main St"/>
    <x v="1"/>
    <x v="3"/>
    <s v="TRK87261034"/>
    <n v="9"/>
    <s v="FREESHIP"/>
    <x v="4"/>
    <n v="121.08"/>
  </r>
  <r>
    <s v="ORD200705"/>
    <x v="501"/>
    <s v="C50114"/>
    <x v="0"/>
    <n v="2"/>
    <n v="49.08"/>
    <s v="420 Main St"/>
    <x v="0"/>
    <x v="2"/>
    <s v="TRK20214786"/>
    <n v="7"/>
    <s v="FREESHIP"/>
    <x v="0"/>
    <n v="98.16"/>
  </r>
  <r>
    <s v="ORD200706"/>
    <x v="380"/>
    <s v="C85330"/>
    <x v="6"/>
    <n v="5"/>
    <n v="228.09"/>
    <s v="969 Main St"/>
    <x v="3"/>
    <x v="2"/>
    <s v="TRK97693301"/>
    <n v="9"/>
    <s v="FREESHIP"/>
    <x v="3"/>
    <n v="1140.45"/>
  </r>
  <r>
    <s v="ORD200707"/>
    <x v="377"/>
    <s v="C31761"/>
    <x v="3"/>
    <n v="4"/>
    <n v="650.04"/>
    <s v="989 Main St"/>
    <x v="3"/>
    <x v="1"/>
    <s v="TRK17628852"/>
    <n v="6"/>
    <s v="SAVE10"/>
    <x v="3"/>
    <n v="2600.16"/>
  </r>
  <r>
    <s v="ORD200708"/>
    <x v="155"/>
    <s v="C25268"/>
    <x v="4"/>
    <n v="1"/>
    <n v="665.11"/>
    <s v="788 Main St"/>
    <x v="4"/>
    <x v="4"/>
    <s v="TRK20481215"/>
    <n v="3"/>
    <s v="FREESHIP"/>
    <x v="0"/>
    <n v="665.11"/>
  </r>
  <r>
    <s v="ORD200709"/>
    <x v="34"/>
    <s v="C17132"/>
    <x v="6"/>
    <n v="1"/>
    <n v="386.03"/>
    <s v="855 Main St"/>
    <x v="1"/>
    <x v="4"/>
    <s v="TRK37504692"/>
    <n v="4"/>
    <s v="FREESHIP"/>
    <x v="4"/>
    <n v="386.03"/>
  </r>
  <r>
    <s v="ORD200710"/>
    <x v="319"/>
    <s v="C48790"/>
    <x v="5"/>
    <n v="5"/>
    <n v="21.54"/>
    <s v="113 Main St"/>
    <x v="3"/>
    <x v="2"/>
    <s v="TRK19086608"/>
    <n v="10"/>
    <s v="NO COUPON CODE"/>
    <x v="4"/>
    <n v="107.7"/>
  </r>
  <r>
    <s v="ORD200711"/>
    <x v="502"/>
    <s v="C61070"/>
    <x v="2"/>
    <n v="2"/>
    <n v="475.78"/>
    <s v="632 Main St"/>
    <x v="1"/>
    <x v="0"/>
    <s v="TRK90764894"/>
    <n v="2"/>
    <s v="WINTER15"/>
    <x v="4"/>
    <n v="951.56"/>
  </r>
  <r>
    <s v="ORD200712"/>
    <x v="486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x v="370"/>
    <s v="C65056"/>
    <x v="2"/>
    <n v="4"/>
    <n v="532.49"/>
    <s v="638 Main St"/>
    <x v="1"/>
    <x v="1"/>
    <s v="TRK31705278"/>
    <n v="6"/>
    <s v="SAVE10"/>
    <x v="3"/>
    <n v="2129.96"/>
  </r>
  <r>
    <s v="ORD200714"/>
    <x v="453"/>
    <s v="C84888"/>
    <x v="5"/>
    <n v="1"/>
    <n v="51.73"/>
    <s v="278 Main St"/>
    <x v="0"/>
    <x v="4"/>
    <s v="TRK23612847"/>
    <n v="1"/>
    <s v="FREESHIP"/>
    <x v="3"/>
    <n v="51.73"/>
  </r>
  <r>
    <s v="ORD200715"/>
    <x v="503"/>
    <s v="C68266"/>
    <x v="4"/>
    <n v="3"/>
    <n v="653.63"/>
    <s v="281 Main St"/>
    <x v="1"/>
    <x v="3"/>
    <s v="TRK96161062"/>
    <n v="7"/>
    <s v="FREESHIP"/>
    <x v="2"/>
    <n v="1960.89"/>
  </r>
  <r>
    <s v="ORD200716"/>
    <x v="136"/>
    <s v="C84115"/>
    <x v="3"/>
    <n v="3"/>
    <n v="454.29"/>
    <s v="891 Main St"/>
    <x v="2"/>
    <x v="4"/>
    <s v="TRK25466842"/>
    <n v="4"/>
    <s v="WINTER15"/>
    <x v="4"/>
    <n v="1362.87"/>
  </r>
  <r>
    <s v="ORD200717"/>
    <x v="504"/>
    <s v="C50087"/>
    <x v="3"/>
    <n v="3"/>
    <n v="122.11"/>
    <s v="707 Main St"/>
    <x v="1"/>
    <x v="3"/>
    <s v="TRK31143760"/>
    <n v="4"/>
    <s v="WINTER15"/>
    <x v="2"/>
    <n v="366.33"/>
  </r>
  <r>
    <s v="ORD200718"/>
    <x v="505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x v="506"/>
    <s v="C46920"/>
    <x v="5"/>
    <n v="2"/>
    <n v="681.06"/>
    <s v="703 Main St"/>
    <x v="0"/>
    <x v="0"/>
    <s v="TRK86403837"/>
    <n v="3"/>
    <s v="FREESHIP"/>
    <x v="3"/>
    <n v="1362.12"/>
  </r>
  <r>
    <s v="ORD200720"/>
    <x v="507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x v="508"/>
    <s v="C46557"/>
    <x v="6"/>
    <n v="2"/>
    <n v="118.59"/>
    <s v="890 Main St"/>
    <x v="2"/>
    <x v="3"/>
    <s v="TRK56110689"/>
    <n v="2"/>
    <s v="NO COUPON CODE"/>
    <x v="2"/>
    <n v="237.18"/>
  </r>
  <r>
    <s v="ORD200722"/>
    <x v="64"/>
    <s v="C58156"/>
    <x v="4"/>
    <n v="1"/>
    <n v="95.1"/>
    <s v="516 Main St"/>
    <x v="3"/>
    <x v="4"/>
    <s v="TRK49719458"/>
    <n v="1"/>
    <s v="WINTER15"/>
    <x v="0"/>
    <n v="95.1"/>
  </r>
  <r>
    <s v="ORD200723"/>
    <x v="509"/>
    <s v="C14455"/>
    <x v="6"/>
    <n v="3"/>
    <n v="54.95"/>
    <s v="385 Main St"/>
    <x v="4"/>
    <x v="2"/>
    <s v="TRK50933724"/>
    <n v="8"/>
    <s v="SAVE10"/>
    <x v="1"/>
    <n v="164.85"/>
  </r>
  <r>
    <s v="ORD200724"/>
    <x v="266"/>
    <s v="C63150"/>
    <x v="4"/>
    <n v="3"/>
    <n v="136.97"/>
    <s v="326 Main St"/>
    <x v="2"/>
    <x v="2"/>
    <s v="TRK19348078"/>
    <n v="4"/>
    <s v="FREESHIP"/>
    <x v="1"/>
    <n v="410.91"/>
  </r>
  <r>
    <s v="ORD200725"/>
    <x v="255"/>
    <s v="C95269"/>
    <x v="3"/>
    <n v="2"/>
    <n v="194.85"/>
    <s v="372 Main St"/>
    <x v="3"/>
    <x v="2"/>
    <s v="TRK45670926"/>
    <n v="5"/>
    <s v="NO COUPON CODE"/>
    <x v="1"/>
    <n v="389.7"/>
  </r>
  <r>
    <s v="ORD200726"/>
    <x v="510"/>
    <s v="C18105"/>
    <x v="5"/>
    <n v="4"/>
    <n v="583.02"/>
    <s v="338 Main St"/>
    <x v="1"/>
    <x v="3"/>
    <s v="TRK94006117"/>
    <n v="4"/>
    <s v="FREESHIP"/>
    <x v="3"/>
    <n v="2332.08"/>
  </r>
  <r>
    <s v="ORD200727"/>
    <x v="470"/>
    <s v="C29063"/>
    <x v="3"/>
    <n v="5"/>
    <n v="95.75"/>
    <s v="379 Main St"/>
    <x v="1"/>
    <x v="0"/>
    <s v="TRK92745947"/>
    <n v="8"/>
    <s v="SAVE10"/>
    <x v="0"/>
    <n v="478.75"/>
  </r>
  <r>
    <s v="ORD200728"/>
    <x v="511"/>
    <s v="C10154"/>
    <x v="6"/>
    <n v="4"/>
    <n v="325.76"/>
    <s v="827 Main St"/>
    <x v="3"/>
    <x v="0"/>
    <s v="TRK79793300"/>
    <n v="8"/>
    <s v="WINTER15"/>
    <x v="2"/>
    <n v="1303.04"/>
  </r>
  <r>
    <s v="ORD200729"/>
    <x v="102"/>
    <s v="C36997"/>
    <x v="1"/>
    <n v="4"/>
    <n v="186.41"/>
    <s v="819 Main St"/>
    <x v="3"/>
    <x v="4"/>
    <s v="TRK92794872"/>
    <n v="6"/>
    <s v="SAVE10"/>
    <x v="4"/>
    <n v="745.64"/>
  </r>
  <r>
    <s v="ORD200730"/>
    <x v="512"/>
    <s v="C77357"/>
    <x v="1"/>
    <n v="1"/>
    <n v="474.6"/>
    <s v="407 Main St"/>
    <x v="0"/>
    <x v="3"/>
    <s v="TRK91943923"/>
    <n v="4"/>
    <s v="SAVE10"/>
    <x v="2"/>
    <n v="474.6"/>
  </r>
  <r>
    <s v="ORD200731"/>
    <x v="267"/>
    <s v="C71310"/>
    <x v="4"/>
    <n v="5"/>
    <n v="584.46"/>
    <s v="308 Main St"/>
    <x v="2"/>
    <x v="2"/>
    <s v="TRK48292586"/>
    <n v="8"/>
    <s v="NO COUPON CODE"/>
    <x v="2"/>
    <n v="2922.3"/>
  </r>
  <r>
    <s v="ORD200732"/>
    <x v="456"/>
    <s v="C80987"/>
    <x v="5"/>
    <n v="1"/>
    <n v="132.05000000000001"/>
    <s v="787 Main St"/>
    <x v="1"/>
    <x v="3"/>
    <s v="TRK42187776"/>
    <n v="2"/>
    <s v="NO COUPON CODE"/>
    <x v="4"/>
    <n v="132.05000000000001"/>
  </r>
  <r>
    <s v="ORD200733"/>
    <x v="513"/>
    <s v="C90757"/>
    <x v="2"/>
    <n v="4"/>
    <n v="494.84"/>
    <s v="694 Main St"/>
    <x v="4"/>
    <x v="2"/>
    <s v="TRK87991608"/>
    <n v="8"/>
    <s v="SAVE10"/>
    <x v="2"/>
    <n v="1979.36"/>
  </r>
  <r>
    <s v="ORD200734"/>
    <x v="514"/>
    <s v="C51898"/>
    <x v="4"/>
    <n v="4"/>
    <n v="224.61"/>
    <s v="630 Main St"/>
    <x v="2"/>
    <x v="2"/>
    <s v="TRK19767885"/>
    <n v="6"/>
    <s v="WINTER15"/>
    <x v="3"/>
    <n v="898.44"/>
  </r>
  <r>
    <s v="ORD200735"/>
    <x v="515"/>
    <s v="C94508"/>
    <x v="0"/>
    <n v="4"/>
    <n v="44.07"/>
    <s v="359 Main St"/>
    <x v="0"/>
    <x v="4"/>
    <s v="TRK13443264"/>
    <n v="6"/>
    <s v="NO COUPON CODE"/>
    <x v="2"/>
    <n v="176.28"/>
  </r>
  <r>
    <s v="ORD200736"/>
    <x v="516"/>
    <s v="C59441"/>
    <x v="0"/>
    <n v="5"/>
    <n v="418.53"/>
    <s v="696 Main St"/>
    <x v="2"/>
    <x v="4"/>
    <s v="TRK66186874"/>
    <n v="6"/>
    <s v="FREESHIP"/>
    <x v="4"/>
    <n v="2092.65"/>
  </r>
  <r>
    <s v="ORD200737"/>
    <x v="517"/>
    <s v="C91029"/>
    <x v="1"/>
    <n v="4"/>
    <n v="532.87"/>
    <s v="972 Main St"/>
    <x v="4"/>
    <x v="4"/>
    <s v="TRK25501930"/>
    <n v="9"/>
    <s v="FREESHIP"/>
    <x v="0"/>
    <n v="2131.48"/>
  </r>
  <r>
    <s v="ORD200738"/>
    <x v="518"/>
    <s v="C96261"/>
    <x v="1"/>
    <n v="2"/>
    <n v="485.37"/>
    <s v="264 Main St"/>
    <x v="2"/>
    <x v="0"/>
    <s v="TRK44998396"/>
    <n v="5"/>
    <s v="SAVE10"/>
    <x v="2"/>
    <n v="970.74"/>
  </r>
  <r>
    <s v="ORD200739"/>
    <x v="136"/>
    <s v="C35123"/>
    <x v="1"/>
    <n v="4"/>
    <n v="386.73"/>
    <s v="513 Main St"/>
    <x v="4"/>
    <x v="3"/>
    <s v="TRK58979275"/>
    <n v="4"/>
    <s v="SAVE10"/>
    <x v="3"/>
    <n v="1546.92"/>
  </r>
  <r>
    <s v="ORD200740"/>
    <x v="351"/>
    <s v="C10892"/>
    <x v="6"/>
    <n v="2"/>
    <n v="377.47"/>
    <s v="433 Main St"/>
    <x v="4"/>
    <x v="4"/>
    <s v="TRK76154554"/>
    <n v="7"/>
    <s v="NO COUPON CODE"/>
    <x v="4"/>
    <n v="754.94"/>
  </r>
  <r>
    <s v="ORD200741"/>
    <x v="185"/>
    <s v="C99683"/>
    <x v="0"/>
    <n v="5"/>
    <n v="332.64"/>
    <s v="945 Main St"/>
    <x v="3"/>
    <x v="3"/>
    <s v="TRK87305883"/>
    <n v="10"/>
    <s v="NO COUPON CODE"/>
    <x v="1"/>
    <n v="1663.2"/>
  </r>
  <r>
    <s v="ORD200742"/>
    <x v="519"/>
    <s v="C41974"/>
    <x v="5"/>
    <n v="3"/>
    <n v="699.93"/>
    <s v="726 Main St"/>
    <x v="4"/>
    <x v="2"/>
    <s v="TRK48051468"/>
    <n v="7"/>
    <s v="SAVE10"/>
    <x v="4"/>
    <n v="2099.79"/>
  </r>
  <r>
    <s v="ORD200743"/>
    <x v="430"/>
    <s v="C23978"/>
    <x v="0"/>
    <n v="1"/>
    <n v="576.35"/>
    <s v="549 Main St"/>
    <x v="3"/>
    <x v="2"/>
    <s v="TRK87090813"/>
    <n v="1"/>
    <s v="WINTER15"/>
    <x v="0"/>
    <n v="576.35"/>
  </r>
  <r>
    <s v="ORD200744"/>
    <x v="520"/>
    <s v="C10642"/>
    <x v="2"/>
    <n v="2"/>
    <n v="461.37"/>
    <s v="200 Main St"/>
    <x v="4"/>
    <x v="3"/>
    <s v="TRK98725693"/>
    <n v="5"/>
    <s v="SAVE10"/>
    <x v="4"/>
    <n v="922.74"/>
  </r>
  <r>
    <s v="ORD200745"/>
    <x v="521"/>
    <s v="C73813"/>
    <x v="4"/>
    <n v="4"/>
    <n v="111.3"/>
    <s v="364 Main St"/>
    <x v="0"/>
    <x v="4"/>
    <s v="TRK89906749"/>
    <n v="7"/>
    <s v="FREESHIP"/>
    <x v="2"/>
    <n v="445.2"/>
  </r>
  <r>
    <s v="ORD200746"/>
    <x v="522"/>
    <s v="C32183"/>
    <x v="6"/>
    <n v="3"/>
    <n v="661.89"/>
    <s v="551 Main St"/>
    <x v="1"/>
    <x v="1"/>
    <s v="TRK76287027"/>
    <n v="6"/>
    <s v="WINTER15"/>
    <x v="1"/>
    <n v="1985.67"/>
  </r>
  <r>
    <s v="ORD200747"/>
    <x v="495"/>
    <s v="C54277"/>
    <x v="2"/>
    <n v="2"/>
    <n v="259.58"/>
    <s v="940 Main St"/>
    <x v="0"/>
    <x v="3"/>
    <s v="TRK26500181"/>
    <n v="7"/>
    <s v="FREESHIP"/>
    <x v="0"/>
    <n v="519.16"/>
  </r>
  <r>
    <s v="ORD200748"/>
    <x v="523"/>
    <s v="C56553"/>
    <x v="2"/>
    <n v="3"/>
    <n v="70.81"/>
    <s v="249 Main St"/>
    <x v="2"/>
    <x v="0"/>
    <s v="TRK37667360"/>
    <n v="8"/>
    <s v="FREESHIP"/>
    <x v="1"/>
    <n v="212.43"/>
  </r>
  <r>
    <s v="ORD200749"/>
    <x v="524"/>
    <s v="C17551"/>
    <x v="5"/>
    <n v="1"/>
    <n v="518.39"/>
    <s v="997 Main St"/>
    <x v="0"/>
    <x v="4"/>
    <s v="TRK88797170"/>
    <n v="4"/>
    <s v="FREESHIP"/>
    <x v="0"/>
    <n v="518.39"/>
  </r>
  <r>
    <s v="ORD200750"/>
    <x v="90"/>
    <s v="C14737"/>
    <x v="2"/>
    <n v="4"/>
    <n v="145.41"/>
    <s v="637 Main St"/>
    <x v="2"/>
    <x v="2"/>
    <s v="TRK10295115"/>
    <n v="7"/>
    <s v="FREESHIP"/>
    <x v="2"/>
    <n v="581.64"/>
  </r>
  <r>
    <s v="ORD200751"/>
    <x v="16"/>
    <s v="C35168"/>
    <x v="2"/>
    <n v="2"/>
    <n v="599.86"/>
    <s v="455 Main St"/>
    <x v="3"/>
    <x v="4"/>
    <s v="TRK76960854"/>
    <n v="7"/>
    <s v="FREESHIP"/>
    <x v="3"/>
    <n v="1199.72"/>
  </r>
  <r>
    <s v="ORD200752"/>
    <x v="525"/>
    <s v="C82217"/>
    <x v="1"/>
    <n v="4"/>
    <n v="429.37"/>
    <s v="299 Main St"/>
    <x v="2"/>
    <x v="3"/>
    <s v="TRK33305694"/>
    <n v="8"/>
    <s v="FREESHIP"/>
    <x v="4"/>
    <n v="1717.48"/>
  </r>
  <r>
    <s v="ORD200753"/>
    <x v="526"/>
    <s v="C42270"/>
    <x v="1"/>
    <n v="2"/>
    <n v="241.49"/>
    <s v="864 Main St"/>
    <x v="0"/>
    <x v="2"/>
    <s v="TRK72697796"/>
    <n v="7"/>
    <s v="FREESHIP"/>
    <x v="0"/>
    <n v="482.98"/>
  </r>
  <r>
    <s v="ORD200754"/>
    <x v="133"/>
    <s v="C48846"/>
    <x v="4"/>
    <n v="2"/>
    <n v="452.05"/>
    <s v="983 Main St"/>
    <x v="2"/>
    <x v="2"/>
    <s v="TRK52804097"/>
    <n v="3"/>
    <s v="WINTER15"/>
    <x v="2"/>
    <n v="904.1"/>
  </r>
  <r>
    <s v="ORD200755"/>
    <x v="527"/>
    <s v="C54160"/>
    <x v="6"/>
    <n v="3"/>
    <n v="336.71"/>
    <s v="658 Main St"/>
    <x v="2"/>
    <x v="4"/>
    <s v="TRK60515972"/>
    <n v="4"/>
    <s v="NO COUPON CODE"/>
    <x v="2"/>
    <n v="1010.13"/>
  </r>
  <r>
    <s v="ORD200756"/>
    <x v="326"/>
    <s v="C14080"/>
    <x v="1"/>
    <n v="1"/>
    <n v="283.69"/>
    <s v="202 Main St"/>
    <x v="3"/>
    <x v="0"/>
    <s v="TRK93163682"/>
    <n v="6"/>
    <s v="NO COUPON CODE"/>
    <x v="4"/>
    <n v="283.69"/>
  </r>
  <r>
    <s v="ORD200757"/>
    <x v="27"/>
    <s v="C81074"/>
    <x v="6"/>
    <n v="1"/>
    <n v="157.72"/>
    <s v="597 Main St"/>
    <x v="0"/>
    <x v="3"/>
    <s v="TRK91105190"/>
    <n v="2"/>
    <s v="FREESHIP"/>
    <x v="4"/>
    <n v="157.72"/>
  </r>
  <r>
    <s v="ORD200758"/>
    <x v="465"/>
    <s v="C69021"/>
    <x v="2"/>
    <n v="3"/>
    <n v="624.84"/>
    <s v="917 Main St"/>
    <x v="2"/>
    <x v="1"/>
    <s v="TRK57148510"/>
    <n v="8"/>
    <s v="WINTER15"/>
    <x v="3"/>
    <n v="1874.52"/>
  </r>
  <r>
    <s v="ORD200759"/>
    <x v="528"/>
    <s v="C96283"/>
    <x v="6"/>
    <n v="3"/>
    <n v="308.01"/>
    <s v="366 Main St"/>
    <x v="4"/>
    <x v="4"/>
    <s v="TRK91784124"/>
    <n v="3"/>
    <s v="FREESHIP"/>
    <x v="3"/>
    <n v="924.03"/>
  </r>
  <r>
    <s v="ORD200760"/>
    <x v="403"/>
    <s v="C96636"/>
    <x v="6"/>
    <n v="1"/>
    <n v="39.56"/>
    <s v="283 Main St"/>
    <x v="0"/>
    <x v="1"/>
    <s v="TRK73324346"/>
    <n v="5"/>
    <s v="NO COUPON CODE"/>
    <x v="4"/>
    <n v="39.56"/>
  </r>
  <r>
    <s v="ORD200761"/>
    <x v="454"/>
    <s v="C37235"/>
    <x v="6"/>
    <n v="4"/>
    <n v="37.76"/>
    <s v="217 Main St"/>
    <x v="0"/>
    <x v="3"/>
    <s v="TRK67789367"/>
    <n v="7"/>
    <s v="NO COUPON CODE"/>
    <x v="4"/>
    <n v="151.04"/>
  </r>
  <r>
    <s v="ORD200762"/>
    <x v="529"/>
    <s v="C12444"/>
    <x v="1"/>
    <n v="3"/>
    <n v="76.959999999999994"/>
    <s v="611 Main St"/>
    <x v="4"/>
    <x v="2"/>
    <s v="TRK97621403"/>
    <n v="8"/>
    <s v="FREESHIP"/>
    <x v="2"/>
    <n v="230.88"/>
  </r>
  <r>
    <s v="ORD200763"/>
    <x v="388"/>
    <s v="C79142"/>
    <x v="5"/>
    <n v="1"/>
    <n v="569.96"/>
    <s v="533 Main St"/>
    <x v="1"/>
    <x v="3"/>
    <s v="TRK30915955"/>
    <n v="4"/>
    <s v="FREESHIP"/>
    <x v="2"/>
    <n v="569.96"/>
  </r>
  <r>
    <s v="ORD200764"/>
    <x v="416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x v="426"/>
    <s v="C36150"/>
    <x v="5"/>
    <n v="2"/>
    <n v="534.91"/>
    <s v="281 Main St"/>
    <x v="0"/>
    <x v="2"/>
    <s v="TRK96249043"/>
    <n v="5"/>
    <s v="SAVE10"/>
    <x v="4"/>
    <n v="1069.82"/>
  </r>
  <r>
    <s v="ORD200766"/>
    <x v="55"/>
    <s v="C91454"/>
    <x v="4"/>
    <n v="2"/>
    <n v="278.88"/>
    <s v="494 Main St"/>
    <x v="0"/>
    <x v="4"/>
    <s v="TRK99985340"/>
    <n v="3"/>
    <s v="FREESHIP"/>
    <x v="1"/>
    <n v="557.76"/>
  </r>
  <r>
    <s v="ORD200767"/>
    <x v="479"/>
    <s v="C19368"/>
    <x v="2"/>
    <n v="2"/>
    <n v="323.22000000000003"/>
    <s v="517 Main St"/>
    <x v="2"/>
    <x v="3"/>
    <s v="TRK80436037"/>
    <n v="7"/>
    <s v="NO COUPON CODE"/>
    <x v="0"/>
    <n v="646.44000000000005"/>
  </r>
  <r>
    <s v="ORD200768"/>
    <x v="355"/>
    <s v="C35987"/>
    <x v="2"/>
    <n v="5"/>
    <n v="653.46"/>
    <s v="165 Main St"/>
    <x v="4"/>
    <x v="1"/>
    <s v="TRK28918815"/>
    <n v="9"/>
    <s v="WINTER15"/>
    <x v="2"/>
    <n v="3267.3"/>
  </r>
  <r>
    <s v="ORD200769"/>
    <x v="117"/>
    <s v="C13366"/>
    <x v="4"/>
    <n v="4"/>
    <n v="678.55"/>
    <s v="568 Main St"/>
    <x v="4"/>
    <x v="3"/>
    <s v="TRK98691410"/>
    <n v="5"/>
    <s v="NO COUPON CODE"/>
    <x v="2"/>
    <n v="2714.2"/>
  </r>
  <r>
    <s v="ORD200770"/>
    <x v="530"/>
    <s v="C72166"/>
    <x v="6"/>
    <n v="1"/>
    <n v="314.38"/>
    <s v="227 Main St"/>
    <x v="1"/>
    <x v="2"/>
    <s v="TRK67733444"/>
    <n v="6"/>
    <s v="NO COUPON CODE"/>
    <x v="4"/>
    <n v="314.38"/>
  </r>
  <r>
    <s v="ORD200771"/>
    <x v="52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x v="118"/>
    <s v="C33802"/>
    <x v="0"/>
    <n v="1"/>
    <n v="604.87"/>
    <s v="461 Main St"/>
    <x v="1"/>
    <x v="3"/>
    <s v="TRK25799478"/>
    <n v="4"/>
    <s v="NO COUPON CODE"/>
    <x v="0"/>
    <n v="604.87"/>
  </r>
  <r>
    <s v="ORD200773"/>
    <x v="164"/>
    <s v="C99205"/>
    <x v="1"/>
    <n v="2"/>
    <n v="512.33000000000004"/>
    <s v="415 Main St"/>
    <x v="4"/>
    <x v="1"/>
    <s v="TRK48904015"/>
    <n v="7"/>
    <s v="NO COUPON CODE"/>
    <x v="3"/>
    <n v="1024.6600000000001"/>
  </r>
  <r>
    <s v="ORD200774"/>
    <x v="198"/>
    <s v="C29701"/>
    <x v="3"/>
    <n v="3"/>
    <n v="20.54"/>
    <s v="257 Main St"/>
    <x v="2"/>
    <x v="1"/>
    <s v="TRK42266846"/>
    <n v="3"/>
    <s v="FREESHIP"/>
    <x v="0"/>
    <n v="61.62"/>
  </r>
  <r>
    <s v="ORD200775"/>
    <x v="190"/>
    <s v="C73941"/>
    <x v="1"/>
    <n v="2"/>
    <n v="625.22"/>
    <s v="569 Main St"/>
    <x v="1"/>
    <x v="1"/>
    <s v="TRK22051900"/>
    <n v="5"/>
    <s v="NO COUPON CODE"/>
    <x v="4"/>
    <n v="1250.44"/>
  </r>
  <r>
    <s v="ORD200776"/>
    <x v="531"/>
    <s v="C69168"/>
    <x v="2"/>
    <n v="1"/>
    <n v="21.19"/>
    <s v="482 Main St"/>
    <x v="4"/>
    <x v="2"/>
    <s v="TRK10446197"/>
    <n v="5"/>
    <s v="WINTER15"/>
    <x v="4"/>
    <n v="21.19"/>
  </r>
  <r>
    <s v="ORD200777"/>
    <x v="438"/>
    <s v="C66116"/>
    <x v="3"/>
    <n v="5"/>
    <n v="64.489999999999995"/>
    <s v="633 Main St"/>
    <x v="1"/>
    <x v="1"/>
    <s v="TRK41967983"/>
    <n v="7"/>
    <s v="NO COUPON CODE"/>
    <x v="3"/>
    <n v="322.45"/>
  </r>
  <r>
    <s v="ORD200778"/>
    <x v="200"/>
    <s v="C85059"/>
    <x v="5"/>
    <n v="4"/>
    <n v="246.85"/>
    <s v="316 Main St"/>
    <x v="2"/>
    <x v="0"/>
    <s v="TRK56503740"/>
    <n v="8"/>
    <s v="WINTER15"/>
    <x v="4"/>
    <n v="987.4"/>
  </r>
  <r>
    <s v="ORD200779"/>
    <x v="142"/>
    <s v="C18076"/>
    <x v="1"/>
    <n v="3"/>
    <n v="588.74"/>
    <s v="751 Main St"/>
    <x v="0"/>
    <x v="4"/>
    <s v="TRK26661705"/>
    <n v="8"/>
    <s v="FREESHIP"/>
    <x v="2"/>
    <n v="1766.22"/>
  </r>
  <r>
    <s v="ORD200780"/>
    <x v="74"/>
    <s v="C41284"/>
    <x v="5"/>
    <n v="4"/>
    <n v="184.48"/>
    <s v="661 Main St"/>
    <x v="1"/>
    <x v="1"/>
    <s v="TRK73613128"/>
    <n v="4"/>
    <s v="WINTER15"/>
    <x v="4"/>
    <n v="737.92"/>
  </r>
  <r>
    <s v="ORD200781"/>
    <x v="532"/>
    <s v="C43524"/>
    <x v="1"/>
    <n v="5"/>
    <n v="524.26"/>
    <s v="934 Main St"/>
    <x v="3"/>
    <x v="3"/>
    <s v="TRK51479426"/>
    <n v="5"/>
    <s v="FREESHIP"/>
    <x v="1"/>
    <n v="2621.3000000000002"/>
  </r>
  <r>
    <s v="ORD200782"/>
    <x v="533"/>
    <s v="C58063"/>
    <x v="0"/>
    <n v="2"/>
    <n v="493.63"/>
    <s v="167 Main St"/>
    <x v="1"/>
    <x v="2"/>
    <s v="TRK50548869"/>
    <n v="6"/>
    <s v="SAVE10"/>
    <x v="1"/>
    <n v="987.26"/>
  </r>
  <r>
    <s v="ORD200783"/>
    <x v="534"/>
    <s v="C19937"/>
    <x v="4"/>
    <n v="1"/>
    <n v="438.34"/>
    <s v="281 Main St"/>
    <x v="3"/>
    <x v="2"/>
    <s v="TRK46990083"/>
    <n v="5"/>
    <s v="FREESHIP"/>
    <x v="3"/>
    <n v="438.34"/>
  </r>
  <r>
    <s v="ORD200784"/>
    <x v="535"/>
    <s v="C21191"/>
    <x v="5"/>
    <n v="1"/>
    <n v="325.81"/>
    <s v="232 Main St"/>
    <x v="2"/>
    <x v="4"/>
    <s v="TRK85771230"/>
    <n v="1"/>
    <s v="WINTER15"/>
    <x v="1"/>
    <n v="325.81"/>
  </r>
  <r>
    <s v="ORD200785"/>
    <x v="536"/>
    <s v="C45862"/>
    <x v="3"/>
    <n v="1"/>
    <n v="176.1"/>
    <s v="342 Main St"/>
    <x v="2"/>
    <x v="4"/>
    <s v="TRK53089983"/>
    <n v="1"/>
    <s v="SAVE10"/>
    <x v="0"/>
    <n v="176.1"/>
  </r>
  <r>
    <s v="ORD200786"/>
    <x v="421"/>
    <s v="C39130"/>
    <x v="3"/>
    <n v="5"/>
    <n v="45.31"/>
    <s v="774 Main St"/>
    <x v="1"/>
    <x v="1"/>
    <s v="TRK99583414"/>
    <n v="8"/>
    <s v="NO COUPON CODE"/>
    <x v="1"/>
    <n v="226.55"/>
  </r>
  <r>
    <s v="ORD200787"/>
    <x v="537"/>
    <s v="C18167"/>
    <x v="6"/>
    <n v="4"/>
    <n v="221.96"/>
    <s v="193 Main St"/>
    <x v="4"/>
    <x v="3"/>
    <s v="TRK36841089"/>
    <n v="7"/>
    <s v="NO COUPON CODE"/>
    <x v="4"/>
    <n v="887.84"/>
  </r>
  <r>
    <s v="ORD200788"/>
    <x v="208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x v="538"/>
    <s v="C57276"/>
    <x v="2"/>
    <n v="5"/>
    <n v="691.28"/>
    <s v="183 Main St"/>
    <x v="1"/>
    <x v="3"/>
    <s v="TRK75899752"/>
    <n v="10"/>
    <s v="SAVE10"/>
    <x v="2"/>
    <n v="3456.4"/>
  </r>
  <r>
    <s v="ORD200790"/>
    <x v="154"/>
    <s v="C38928"/>
    <x v="5"/>
    <n v="4"/>
    <n v="417.89"/>
    <s v="302 Main St"/>
    <x v="3"/>
    <x v="4"/>
    <s v="TRK96636009"/>
    <n v="4"/>
    <s v="NO COUPON CODE"/>
    <x v="4"/>
    <n v="1671.56"/>
  </r>
  <r>
    <s v="ORD200791"/>
    <x v="539"/>
    <s v="C49710"/>
    <x v="3"/>
    <n v="4"/>
    <n v="409.28"/>
    <s v="956 Main St"/>
    <x v="4"/>
    <x v="4"/>
    <s v="TRK92591237"/>
    <n v="8"/>
    <s v="NO COUPON CODE"/>
    <x v="2"/>
    <n v="1637.12"/>
  </r>
  <r>
    <s v="ORD200792"/>
    <x v="379"/>
    <s v="C41709"/>
    <x v="6"/>
    <n v="2"/>
    <n v="356.35"/>
    <s v="746 Main St"/>
    <x v="0"/>
    <x v="2"/>
    <s v="TRK90995294"/>
    <n v="6"/>
    <s v="WINTER15"/>
    <x v="3"/>
    <n v="712.7"/>
  </r>
  <r>
    <s v="ORD200793"/>
    <x v="116"/>
    <s v="C91255"/>
    <x v="3"/>
    <n v="5"/>
    <n v="170.22"/>
    <s v="769 Main St"/>
    <x v="0"/>
    <x v="3"/>
    <s v="TRK69599961"/>
    <n v="8"/>
    <s v="NO COUPON CODE"/>
    <x v="1"/>
    <n v="851.1"/>
  </r>
  <r>
    <s v="ORD200794"/>
    <x v="338"/>
    <s v="C76653"/>
    <x v="4"/>
    <n v="4"/>
    <n v="384.85"/>
    <s v="988 Main St"/>
    <x v="1"/>
    <x v="3"/>
    <s v="TRK77052196"/>
    <n v="9"/>
    <s v="FREESHIP"/>
    <x v="0"/>
    <n v="1539.4"/>
  </r>
  <r>
    <s v="ORD200795"/>
    <x v="540"/>
    <s v="C95667"/>
    <x v="5"/>
    <n v="4"/>
    <n v="115.77"/>
    <s v="586 Main St"/>
    <x v="1"/>
    <x v="4"/>
    <s v="TRK41266666"/>
    <n v="7"/>
    <s v="SAVE10"/>
    <x v="0"/>
    <n v="463.08"/>
  </r>
  <r>
    <s v="ORD200796"/>
    <x v="541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x v="146"/>
    <s v="C36825"/>
    <x v="5"/>
    <n v="2"/>
    <n v="438.76"/>
    <s v="426 Main St"/>
    <x v="0"/>
    <x v="2"/>
    <s v="TRK72557318"/>
    <n v="2"/>
    <s v="NO COUPON CODE"/>
    <x v="3"/>
    <n v="877.52"/>
  </r>
  <r>
    <s v="ORD200798"/>
    <x v="542"/>
    <s v="C20861"/>
    <x v="1"/>
    <n v="5"/>
    <n v="488.35"/>
    <s v="968 Main St"/>
    <x v="0"/>
    <x v="2"/>
    <s v="TRK89372013"/>
    <n v="9"/>
    <s v="FREESHIP"/>
    <x v="2"/>
    <n v="2441.75"/>
  </r>
  <r>
    <s v="ORD200799"/>
    <x v="397"/>
    <s v="C26364"/>
    <x v="5"/>
    <n v="4"/>
    <n v="328.56"/>
    <s v="803 Main St"/>
    <x v="0"/>
    <x v="2"/>
    <s v="TRK78924436"/>
    <n v="4"/>
    <s v="FREESHIP"/>
    <x v="2"/>
    <n v="1314.24"/>
  </r>
  <r>
    <s v="ORD200800"/>
    <x v="210"/>
    <s v="C34686"/>
    <x v="2"/>
    <n v="1"/>
    <n v="68.39"/>
    <s v="412 Main St"/>
    <x v="1"/>
    <x v="2"/>
    <s v="TRK99468332"/>
    <n v="3"/>
    <s v="WINTER15"/>
    <x v="3"/>
    <n v="68.39"/>
  </r>
  <r>
    <s v="ORD200801"/>
    <x v="71"/>
    <s v="C97593"/>
    <x v="4"/>
    <n v="4"/>
    <n v="595.62"/>
    <s v="738 Main St"/>
    <x v="0"/>
    <x v="4"/>
    <s v="TRK58443593"/>
    <n v="8"/>
    <s v="FREESHIP"/>
    <x v="3"/>
    <n v="2382.48"/>
  </r>
  <r>
    <s v="ORD200802"/>
    <x v="11"/>
    <s v="C84331"/>
    <x v="3"/>
    <n v="5"/>
    <n v="644.64"/>
    <s v="205 Main St"/>
    <x v="3"/>
    <x v="1"/>
    <s v="TRK34440714"/>
    <n v="6"/>
    <s v="FREESHIP"/>
    <x v="2"/>
    <n v="3223.2"/>
  </r>
  <r>
    <s v="ORD200803"/>
    <x v="38"/>
    <s v="C88775"/>
    <x v="0"/>
    <n v="5"/>
    <n v="397.81"/>
    <s v="223 Main St"/>
    <x v="0"/>
    <x v="2"/>
    <s v="TRK45098068"/>
    <n v="5"/>
    <s v="SAVE10"/>
    <x v="1"/>
    <n v="1989.05"/>
  </r>
  <r>
    <s v="ORD200804"/>
    <x v="543"/>
    <s v="C76362"/>
    <x v="3"/>
    <n v="3"/>
    <n v="236.5"/>
    <s v="916 Main St"/>
    <x v="1"/>
    <x v="3"/>
    <s v="TRK11868618"/>
    <n v="8"/>
    <s v="FREESHIP"/>
    <x v="2"/>
    <n v="709.5"/>
  </r>
  <r>
    <s v="ORD200805"/>
    <x v="12"/>
    <s v="C59278"/>
    <x v="5"/>
    <n v="5"/>
    <n v="472.01"/>
    <s v="178 Main St"/>
    <x v="3"/>
    <x v="1"/>
    <s v="TRK14590037"/>
    <n v="10"/>
    <s v="SAVE10"/>
    <x v="2"/>
    <n v="2360.0500000000002"/>
  </r>
  <r>
    <s v="ORD200806"/>
    <x v="544"/>
    <s v="C55819"/>
    <x v="3"/>
    <n v="5"/>
    <n v="253.75"/>
    <s v="740 Main St"/>
    <x v="1"/>
    <x v="4"/>
    <s v="TRK13775054"/>
    <n v="9"/>
    <s v="WINTER15"/>
    <x v="0"/>
    <n v="1268.75"/>
  </r>
  <r>
    <s v="ORD200807"/>
    <x v="337"/>
    <s v="C82344"/>
    <x v="0"/>
    <n v="3"/>
    <n v="676.21"/>
    <s v="260 Main St"/>
    <x v="1"/>
    <x v="3"/>
    <s v="TRK70957219"/>
    <n v="5"/>
    <s v="SAVE10"/>
    <x v="4"/>
    <n v="2028.63"/>
  </r>
  <r>
    <s v="ORD200808"/>
    <x v="545"/>
    <s v="C65565"/>
    <x v="6"/>
    <n v="3"/>
    <n v="134.05000000000001"/>
    <s v="192 Main St"/>
    <x v="2"/>
    <x v="0"/>
    <s v="TRK80383756"/>
    <n v="3"/>
    <s v="NO COUPON CODE"/>
    <x v="4"/>
    <n v="402.15"/>
  </r>
  <r>
    <s v="ORD200809"/>
    <x v="398"/>
    <s v="C80416"/>
    <x v="6"/>
    <n v="5"/>
    <n v="217.43"/>
    <s v="752 Main St"/>
    <x v="0"/>
    <x v="0"/>
    <s v="TRK54385892"/>
    <n v="10"/>
    <s v="SAVE1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s v="NO COUPON CODE"/>
    <x v="1"/>
    <n v="553.55999999999995"/>
  </r>
  <r>
    <s v="ORD200811"/>
    <x v="212"/>
    <s v="C24769"/>
    <x v="5"/>
    <n v="2"/>
    <n v="28.55"/>
    <s v="864 Main St"/>
    <x v="3"/>
    <x v="0"/>
    <s v="TRK44538305"/>
    <n v="7"/>
    <s v="SAVE10"/>
    <x v="2"/>
    <n v="57.1"/>
  </r>
  <r>
    <s v="ORD200812"/>
    <x v="547"/>
    <s v="C81547"/>
    <x v="1"/>
    <n v="2"/>
    <n v="255.26"/>
    <s v="803 Main St"/>
    <x v="2"/>
    <x v="1"/>
    <s v="TRK88437123"/>
    <n v="6"/>
    <s v="FREESHIP"/>
    <x v="4"/>
    <n v="510.52"/>
  </r>
  <r>
    <s v="ORD200813"/>
    <x v="175"/>
    <s v="C12813"/>
    <x v="5"/>
    <n v="5"/>
    <n v="292.54000000000002"/>
    <s v="263 Main St"/>
    <x v="0"/>
    <x v="1"/>
    <s v="TRK36131660"/>
    <n v="8"/>
    <s v="FREESHIP"/>
    <x v="2"/>
    <n v="1462.7"/>
  </r>
  <r>
    <s v="ORD200814"/>
    <x v="218"/>
    <s v="C50732"/>
    <x v="3"/>
    <n v="4"/>
    <n v="147.51"/>
    <s v="979 Main St"/>
    <x v="0"/>
    <x v="4"/>
    <s v="TRK21082461"/>
    <n v="4"/>
    <s v="WINTER15"/>
    <x v="0"/>
    <n v="590.04"/>
  </r>
  <r>
    <s v="ORD200815"/>
    <x v="548"/>
    <s v="C41320"/>
    <x v="4"/>
    <n v="3"/>
    <n v="569.84"/>
    <s v="920 Main St"/>
    <x v="3"/>
    <x v="1"/>
    <s v="TRK77539180"/>
    <n v="8"/>
    <s v="WINTER15"/>
    <x v="0"/>
    <n v="1709.52"/>
  </r>
  <r>
    <s v="ORD200816"/>
    <x v="444"/>
    <s v="C55286"/>
    <x v="2"/>
    <n v="5"/>
    <n v="574.79"/>
    <s v="497 Main St"/>
    <x v="2"/>
    <x v="4"/>
    <s v="TRK39058734"/>
    <n v="8"/>
    <s v="WINTER15"/>
    <x v="1"/>
    <n v="2873.95"/>
  </r>
  <r>
    <s v="ORD200817"/>
    <x v="469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x v="521"/>
    <s v="C25580"/>
    <x v="1"/>
    <n v="4"/>
    <n v="390.84"/>
    <s v="860 Main St"/>
    <x v="2"/>
    <x v="1"/>
    <s v="TRK58781638"/>
    <n v="9"/>
    <s v="WINTER15"/>
    <x v="1"/>
    <n v="1563.36"/>
  </r>
  <r>
    <s v="ORD200819"/>
    <x v="335"/>
    <s v="C66196"/>
    <x v="1"/>
    <n v="2"/>
    <n v="398.45"/>
    <s v="650 Main St"/>
    <x v="0"/>
    <x v="1"/>
    <s v="TRK38104650"/>
    <n v="7"/>
    <s v="SAVE10"/>
    <x v="4"/>
    <n v="796.9"/>
  </r>
  <r>
    <s v="ORD200820"/>
    <x v="156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x v="549"/>
    <s v="C40771"/>
    <x v="5"/>
    <n v="4"/>
    <n v="174.49"/>
    <s v="259 Main St"/>
    <x v="2"/>
    <x v="3"/>
    <s v="TRK56310345"/>
    <n v="5"/>
    <s v="SAVE10"/>
    <x v="3"/>
    <n v="697.96"/>
  </r>
  <r>
    <s v="ORD200822"/>
    <x v="175"/>
    <s v="C20624"/>
    <x v="1"/>
    <n v="1"/>
    <n v="479.56"/>
    <s v="923 Main St"/>
    <x v="3"/>
    <x v="2"/>
    <s v="TRK45123395"/>
    <n v="1"/>
    <s v="SAVE10"/>
    <x v="4"/>
    <n v="479.56"/>
  </r>
  <r>
    <s v="ORD200823"/>
    <x v="550"/>
    <s v="C27070"/>
    <x v="5"/>
    <n v="4"/>
    <n v="653.13"/>
    <s v="973 Main St"/>
    <x v="2"/>
    <x v="0"/>
    <s v="TRK83842481"/>
    <n v="8"/>
    <s v="WINTER15"/>
    <x v="0"/>
    <n v="2612.52"/>
  </r>
  <r>
    <s v="ORD200824"/>
    <x v="193"/>
    <s v="C18826"/>
    <x v="0"/>
    <n v="3"/>
    <n v="481.1"/>
    <s v="664 Main St"/>
    <x v="2"/>
    <x v="2"/>
    <s v="TRK12530495"/>
    <n v="3"/>
    <s v="FREESHIP"/>
    <x v="3"/>
    <n v="1443.3"/>
  </r>
  <r>
    <s v="ORD200825"/>
    <x v="18"/>
    <s v="C23899"/>
    <x v="6"/>
    <n v="5"/>
    <n v="271.69"/>
    <s v="543 Main St"/>
    <x v="1"/>
    <x v="2"/>
    <s v="TRK88914760"/>
    <n v="7"/>
    <s v="FREESHIP"/>
    <x v="0"/>
    <n v="1358.45"/>
  </r>
  <r>
    <s v="ORD200826"/>
    <x v="177"/>
    <s v="C43249"/>
    <x v="4"/>
    <n v="3"/>
    <n v="463.81"/>
    <s v="283 Main St"/>
    <x v="1"/>
    <x v="2"/>
    <s v="TRK32469820"/>
    <n v="8"/>
    <s v="WINTER15"/>
    <x v="2"/>
    <n v="1391.43"/>
  </r>
  <r>
    <s v="ORD200827"/>
    <x v="551"/>
    <s v="C95856"/>
    <x v="2"/>
    <n v="2"/>
    <n v="639.88"/>
    <s v="432 Main St"/>
    <x v="4"/>
    <x v="3"/>
    <s v="TRK58829625"/>
    <n v="5"/>
    <s v="WINTER15"/>
    <x v="0"/>
    <n v="1279.76"/>
  </r>
  <r>
    <s v="ORD200828"/>
    <x v="25"/>
    <s v="C86266"/>
    <x v="3"/>
    <n v="4"/>
    <n v="404.58"/>
    <s v="510 Main St"/>
    <x v="4"/>
    <x v="0"/>
    <s v="TRK64576020"/>
    <n v="5"/>
    <s v="FREESHIP"/>
    <x v="0"/>
    <n v="1618.32"/>
  </r>
  <r>
    <s v="ORD200829"/>
    <x v="483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x v="218"/>
    <s v="C90310"/>
    <x v="2"/>
    <n v="4"/>
    <n v="190.64"/>
    <s v="853 Main St"/>
    <x v="4"/>
    <x v="3"/>
    <s v="TRK70028457"/>
    <n v="5"/>
    <s v="SAVE10"/>
    <x v="2"/>
    <n v="762.56"/>
  </r>
  <r>
    <s v="ORD200831"/>
    <x v="552"/>
    <s v="C20124"/>
    <x v="4"/>
    <n v="2"/>
    <n v="88.73"/>
    <s v="140 Main St"/>
    <x v="1"/>
    <x v="4"/>
    <s v="TRK61346824"/>
    <n v="5"/>
    <s v="NO COUPON CODE"/>
    <x v="4"/>
    <n v="177.46"/>
  </r>
  <r>
    <s v="ORD200832"/>
    <x v="553"/>
    <s v="C63372"/>
    <x v="3"/>
    <n v="5"/>
    <n v="485.71"/>
    <s v="903 Main St"/>
    <x v="1"/>
    <x v="4"/>
    <s v="TRK14661811"/>
    <n v="10"/>
    <s v="SAVE1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s v="WINTER15"/>
    <x v="1"/>
    <n v="391.45"/>
  </r>
  <r>
    <s v="ORD200834"/>
    <x v="166"/>
    <s v="C98483"/>
    <x v="4"/>
    <n v="5"/>
    <n v="22.14"/>
    <s v="456 Main St"/>
    <x v="4"/>
    <x v="2"/>
    <s v="TRK22084320"/>
    <n v="10"/>
    <s v="NO COUPON CODE"/>
    <x v="0"/>
    <n v="110.7"/>
  </r>
  <r>
    <s v="ORD200835"/>
    <x v="290"/>
    <s v="C16429"/>
    <x v="6"/>
    <n v="1"/>
    <n v="679.65"/>
    <s v="390 Main St"/>
    <x v="0"/>
    <x v="0"/>
    <s v="TRK73888013"/>
    <n v="6"/>
    <s v="FREESHIP"/>
    <x v="4"/>
    <n v="679.65"/>
  </r>
  <r>
    <s v="ORD200836"/>
    <x v="488"/>
    <s v="C31810"/>
    <x v="1"/>
    <n v="1"/>
    <n v="178.44"/>
    <s v="328 Main St"/>
    <x v="2"/>
    <x v="1"/>
    <s v="TRK58725886"/>
    <n v="2"/>
    <s v="FREESHIP"/>
    <x v="4"/>
    <n v="178.44"/>
  </r>
  <r>
    <s v="ORD200837"/>
    <x v="554"/>
    <s v="C88029"/>
    <x v="3"/>
    <n v="5"/>
    <n v="655.55"/>
    <s v="282 Main St"/>
    <x v="1"/>
    <x v="3"/>
    <s v="TRK59701278"/>
    <n v="5"/>
    <s v="NO COUPON CODE"/>
    <x v="2"/>
    <n v="3277.75"/>
  </r>
  <r>
    <s v="ORD200838"/>
    <x v="166"/>
    <s v="C57798"/>
    <x v="6"/>
    <n v="4"/>
    <n v="577.08000000000004"/>
    <s v="384 Main St"/>
    <x v="1"/>
    <x v="4"/>
    <s v="TRK68797566"/>
    <n v="8"/>
    <s v="NO COUPON CODE"/>
    <x v="3"/>
    <n v="2308.3200000000002"/>
  </r>
  <r>
    <s v="ORD200839"/>
    <x v="318"/>
    <s v="C82858"/>
    <x v="3"/>
    <n v="3"/>
    <n v="197.97"/>
    <s v="551 Main St"/>
    <x v="1"/>
    <x v="1"/>
    <s v="TRK90618490"/>
    <n v="5"/>
    <s v="NO COUPON CODE"/>
    <x v="4"/>
    <n v="593.91"/>
  </r>
  <r>
    <s v="ORD200840"/>
    <x v="555"/>
    <s v="C60699"/>
    <x v="3"/>
    <n v="3"/>
    <n v="411.95"/>
    <s v="672 Main St"/>
    <x v="2"/>
    <x v="3"/>
    <s v="TRK88660574"/>
    <n v="7"/>
    <s v="FREESHIP"/>
    <x v="1"/>
    <n v="1235.8499999999999"/>
  </r>
  <r>
    <s v="ORD200841"/>
    <x v="556"/>
    <s v="C94658"/>
    <x v="4"/>
    <n v="2"/>
    <n v="443.22"/>
    <s v="742 Main St"/>
    <x v="2"/>
    <x v="3"/>
    <s v="TRK51732528"/>
    <n v="5"/>
    <s v="NO COUPON CODE"/>
    <x v="3"/>
    <n v="886.44"/>
  </r>
  <r>
    <s v="ORD200842"/>
    <x v="106"/>
    <s v="C78305"/>
    <x v="5"/>
    <n v="3"/>
    <n v="364.14"/>
    <s v="396 Main St"/>
    <x v="1"/>
    <x v="4"/>
    <s v="TRK88312618"/>
    <n v="7"/>
    <s v="WINTER15"/>
    <x v="1"/>
    <n v="1092.42"/>
  </r>
  <r>
    <s v="ORD200843"/>
    <x v="557"/>
    <s v="C43538"/>
    <x v="6"/>
    <n v="3"/>
    <n v="430.06"/>
    <s v="534 Main St"/>
    <x v="3"/>
    <x v="1"/>
    <s v="TRK20961563"/>
    <n v="8"/>
    <s v="FREESHIP"/>
    <x v="0"/>
    <n v="1290.18"/>
  </r>
  <r>
    <s v="ORD200844"/>
    <x v="558"/>
    <s v="C47486"/>
    <x v="3"/>
    <n v="1"/>
    <n v="320.92"/>
    <s v="883 Main St"/>
    <x v="1"/>
    <x v="2"/>
    <s v="TRK75984759"/>
    <n v="5"/>
    <s v="FREESHIP"/>
    <x v="3"/>
    <n v="320.92"/>
  </r>
  <r>
    <s v="ORD200845"/>
    <x v="345"/>
    <s v="C24212"/>
    <x v="1"/>
    <n v="3"/>
    <n v="107.36"/>
    <s v="808 Main St"/>
    <x v="3"/>
    <x v="3"/>
    <s v="TRK68894675"/>
    <n v="5"/>
    <s v="FREESHIP"/>
    <x v="4"/>
    <n v="322.08"/>
  </r>
  <r>
    <s v="ORD200846"/>
    <x v="502"/>
    <s v="C24765"/>
    <x v="6"/>
    <n v="2"/>
    <n v="359.86"/>
    <s v="646 Main St"/>
    <x v="0"/>
    <x v="1"/>
    <s v="TRK43977698"/>
    <n v="4"/>
    <s v="NO COUPON CODE"/>
    <x v="1"/>
    <n v="719.72"/>
  </r>
  <r>
    <s v="ORD200847"/>
    <x v="249"/>
    <s v="C48176"/>
    <x v="4"/>
    <n v="4"/>
    <n v="434.23"/>
    <s v="670 Main St"/>
    <x v="1"/>
    <x v="0"/>
    <s v="TRK90560300"/>
    <n v="8"/>
    <s v="FREESHIP"/>
    <x v="2"/>
    <n v="1736.92"/>
  </r>
  <r>
    <s v="ORD200848"/>
    <x v="107"/>
    <s v="C54675"/>
    <x v="3"/>
    <n v="2"/>
    <n v="645.85"/>
    <s v="634 Main St"/>
    <x v="1"/>
    <x v="0"/>
    <s v="TRK18049633"/>
    <n v="5"/>
    <s v="NO COUPON CODE"/>
    <x v="1"/>
    <n v="1291.7"/>
  </r>
  <r>
    <s v="ORD200849"/>
    <x v="559"/>
    <s v="C16675"/>
    <x v="4"/>
    <n v="4"/>
    <n v="214.35"/>
    <s v="664 Main St"/>
    <x v="0"/>
    <x v="1"/>
    <s v="TRK12756945"/>
    <n v="7"/>
    <s v="WINTER15"/>
    <x v="1"/>
    <n v="857.4"/>
  </r>
  <r>
    <s v="ORD200850"/>
    <x v="560"/>
    <s v="C38557"/>
    <x v="0"/>
    <n v="3"/>
    <n v="638.5"/>
    <s v="890 Main St"/>
    <x v="0"/>
    <x v="1"/>
    <s v="TRK14832238"/>
    <n v="4"/>
    <s v="FREESHIP"/>
    <x v="0"/>
    <n v="1915.5"/>
  </r>
  <r>
    <s v="ORD200851"/>
    <x v="427"/>
    <s v="C80183"/>
    <x v="5"/>
    <n v="1"/>
    <n v="365.57"/>
    <s v="146 Main St"/>
    <x v="1"/>
    <x v="1"/>
    <s v="TRK20814598"/>
    <n v="5"/>
    <s v="SAVE10"/>
    <x v="2"/>
    <n v="365.57"/>
  </r>
  <r>
    <s v="ORD200852"/>
    <x v="101"/>
    <s v="C39530"/>
    <x v="6"/>
    <n v="3"/>
    <n v="568.04999999999995"/>
    <s v="618 Main St"/>
    <x v="3"/>
    <x v="4"/>
    <s v="TRK69000497"/>
    <n v="6"/>
    <s v="SAVE10"/>
    <x v="4"/>
    <n v="1704.15"/>
  </r>
  <r>
    <s v="ORD200853"/>
    <x v="504"/>
    <s v="C10002"/>
    <x v="4"/>
    <n v="3"/>
    <n v="490.01"/>
    <s v="894 Main St"/>
    <x v="4"/>
    <x v="2"/>
    <s v="TRK94641152"/>
    <n v="4"/>
    <s v="SAVE10"/>
    <x v="3"/>
    <n v="1470.03"/>
  </r>
  <r>
    <s v="ORD200854"/>
    <x v="399"/>
    <s v="C56938"/>
    <x v="5"/>
    <n v="3"/>
    <n v="372.6"/>
    <s v="356 Main St"/>
    <x v="2"/>
    <x v="3"/>
    <s v="TRK67735987"/>
    <n v="7"/>
    <s v="WINTER15"/>
    <x v="1"/>
    <n v="1117.8"/>
  </r>
  <r>
    <s v="ORD200855"/>
    <x v="551"/>
    <s v="C41331"/>
    <x v="0"/>
    <n v="5"/>
    <n v="240.61"/>
    <s v="785 Main St"/>
    <x v="2"/>
    <x v="0"/>
    <s v="TRK94198179"/>
    <n v="10"/>
    <s v="FREESHIP"/>
    <x v="2"/>
    <n v="1203.05"/>
  </r>
  <r>
    <s v="ORD200856"/>
    <x v="561"/>
    <s v="C94698"/>
    <x v="1"/>
    <n v="1"/>
    <n v="586.62"/>
    <s v="871 Main St"/>
    <x v="0"/>
    <x v="0"/>
    <s v="TRK95768773"/>
    <n v="5"/>
    <s v="NO COUPON CODE"/>
    <x v="3"/>
    <n v="586.62"/>
  </r>
  <r>
    <s v="ORD200857"/>
    <x v="416"/>
    <s v="C56506"/>
    <x v="1"/>
    <n v="3"/>
    <n v="257.83999999999997"/>
    <s v="185 Main St"/>
    <x v="1"/>
    <x v="3"/>
    <s v="TRK86808324"/>
    <n v="4"/>
    <s v="NO COUPON CODE"/>
    <x v="0"/>
    <n v="773.52"/>
  </r>
  <r>
    <s v="ORD200858"/>
    <x v="38"/>
    <s v="C22167"/>
    <x v="2"/>
    <n v="5"/>
    <n v="435.66"/>
    <s v="891 Main St"/>
    <x v="1"/>
    <x v="4"/>
    <s v="TRK70269748"/>
    <n v="9"/>
    <s v="NO COUPON CODE"/>
    <x v="3"/>
    <n v="2178.3000000000002"/>
  </r>
  <r>
    <s v="ORD200859"/>
    <x v="562"/>
    <s v="C11127"/>
    <x v="3"/>
    <n v="5"/>
    <n v="261.33"/>
    <s v="154 Main St"/>
    <x v="2"/>
    <x v="2"/>
    <s v="TRK73285507"/>
    <n v="5"/>
    <s v="SAVE10"/>
    <x v="1"/>
    <n v="1306.6500000000001"/>
  </r>
  <r>
    <s v="ORD200860"/>
    <x v="514"/>
    <s v="C69542"/>
    <x v="4"/>
    <n v="1"/>
    <n v="422.54"/>
    <s v="876 Main St"/>
    <x v="4"/>
    <x v="3"/>
    <s v="TRK20746505"/>
    <n v="1"/>
    <s v="SAVE10"/>
    <x v="4"/>
    <n v="422.54"/>
  </r>
  <r>
    <s v="ORD200861"/>
    <x v="111"/>
    <s v="C93276"/>
    <x v="6"/>
    <n v="5"/>
    <n v="330.45"/>
    <s v="230 Main St"/>
    <x v="3"/>
    <x v="0"/>
    <s v="TRK44165913"/>
    <n v="10"/>
    <s v="FREESHIP"/>
    <x v="4"/>
    <n v="1652.25"/>
  </r>
  <r>
    <s v="ORD200862"/>
    <x v="278"/>
    <s v="C37969"/>
    <x v="6"/>
    <n v="3"/>
    <n v="120.82"/>
    <s v="799 Main St"/>
    <x v="2"/>
    <x v="0"/>
    <s v="TRK69852386"/>
    <n v="5"/>
    <s v="SAVE10"/>
    <x v="1"/>
    <n v="362.46"/>
  </r>
  <r>
    <s v="ORD200863"/>
    <x v="199"/>
    <s v="C98276"/>
    <x v="1"/>
    <n v="1"/>
    <n v="14.06"/>
    <s v="471 Main St"/>
    <x v="2"/>
    <x v="4"/>
    <s v="TRK74207282"/>
    <n v="5"/>
    <s v="SAVE10"/>
    <x v="1"/>
    <n v="14.06"/>
  </r>
  <r>
    <s v="ORD200864"/>
    <x v="71"/>
    <s v="C14240"/>
    <x v="6"/>
    <n v="1"/>
    <n v="491.11"/>
    <s v="592 Main St"/>
    <x v="2"/>
    <x v="3"/>
    <s v="TRK58095246"/>
    <n v="4"/>
    <s v="SAVE10"/>
    <x v="3"/>
    <n v="491.11"/>
  </r>
  <r>
    <s v="ORD200865"/>
    <x v="563"/>
    <s v="C72241"/>
    <x v="0"/>
    <n v="4"/>
    <n v="677.37"/>
    <s v="156 Main St"/>
    <x v="4"/>
    <x v="4"/>
    <s v="TRK76270481"/>
    <n v="8"/>
    <s v="SAVE10"/>
    <x v="4"/>
    <n v="2709.48"/>
  </r>
  <r>
    <s v="ORD200866"/>
    <x v="503"/>
    <s v="C39664"/>
    <x v="6"/>
    <n v="5"/>
    <n v="189.25"/>
    <s v="693 Main St"/>
    <x v="0"/>
    <x v="1"/>
    <s v="TRK39917741"/>
    <n v="10"/>
    <s v="WINTER15"/>
    <x v="2"/>
    <n v="946.25"/>
  </r>
  <r>
    <s v="ORD200867"/>
    <x v="564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x v="310"/>
    <s v="C70452"/>
    <x v="0"/>
    <n v="4"/>
    <n v="316.32"/>
    <s v="309 Main St"/>
    <x v="0"/>
    <x v="3"/>
    <s v="TRK42985882"/>
    <n v="7"/>
    <s v="NO COUPON CODE"/>
    <x v="3"/>
    <n v="1265.28"/>
  </r>
  <r>
    <s v="ORD200869"/>
    <x v="537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x v="565"/>
    <s v="C78725"/>
    <x v="1"/>
    <n v="4"/>
    <n v="470.09"/>
    <s v="541 Main St"/>
    <x v="0"/>
    <x v="3"/>
    <s v="TRK72001139"/>
    <n v="4"/>
    <s v="FREESHIP"/>
    <x v="4"/>
    <n v="1880.36"/>
  </r>
  <r>
    <s v="ORD200871"/>
    <x v="149"/>
    <s v="C93768"/>
    <x v="2"/>
    <n v="3"/>
    <n v="324.3"/>
    <s v="720 Main St"/>
    <x v="0"/>
    <x v="4"/>
    <s v="TRK22024707"/>
    <n v="8"/>
    <s v="FREESHIP"/>
    <x v="2"/>
    <n v="972.90000000000009"/>
  </r>
  <r>
    <s v="ORD200872"/>
    <x v="566"/>
    <s v="C59169"/>
    <x v="3"/>
    <n v="4"/>
    <n v="629.34"/>
    <s v="172 Main St"/>
    <x v="4"/>
    <x v="0"/>
    <s v="TRK90883858"/>
    <n v="7"/>
    <s v="NO COUPON CODE"/>
    <x v="2"/>
    <n v="2517.36"/>
  </r>
  <r>
    <s v="ORD200873"/>
    <x v="258"/>
    <s v="C53488"/>
    <x v="6"/>
    <n v="3"/>
    <n v="136.84"/>
    <s v="448 Main St"/>
    <x v="4"/>
    <x v="3"/>
    <s v="TRK27365050"/>
    <n v="3"/>
    <s v="SAVE10"/>
    <x v="3"/>
    <n v="410.52"/>
  </r>
  <r>
    <s v="ORD200874"/>
    <x v="150"/>
    <s v="C92180"/>
    <x v="3"/>
    <n v="2"/>
    <n v="488.9"/>
    <s v="632 Main St"/>
    <x v="4"/>
    <x v="3"/>
    <s v="TRK93315929"/>
    <n v="7"/>
    <s v="FREESHIP"/>
    <x v="3"/>
    <n v="977.8"/>
  </r>
  <r>
    <s v="ORD200875"/>
    <x v="567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x v="410"/>
    <s v="C90363"/>
    <x v="3"/>
    <n v="5"/>
    <n v="608.91"/>
    <s v="200 Main St"/>
    <x v="3"/>
    <x v="4"/>
    <s v="TRK21534173"/>
    <n v="6"/>
    <s v="SAVE10"/>
    <x v="4"/>
    <n v="3044.55"/>
  </r>
  <r>
    <s v="ORD200877"/>
    <x v="568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x v="569"/>
    <s v="C73873"/>
    <x v="6"/>
    <n v="2"/>
    <n v="330.69"/>
    <s v="393 Main St"/>
    <x v="1"/>
    <x v="1"/>
    <s v="TRK56423132"/>
    <n v="5"/>
    <s v="SAVE10"/>
    <x v="4"/>
    <n v="661.38"/>
  </r>
  <r>
    <s v="ORD200879"/>
    <x v="428"/>
    <s v="C56622"/>
    <x v="1"/>
    <n v="2"/>
    <n v="547.66999999999996"/>
    <s v="932 Main St"/>
    <x v="3"/>
    <x v="0"/>
    <s v="TRK86373987"/>
    <n v="3"/>
    <s v="NO COUPON CODE"/>
    <x v="0"/>
    <n v="1095.3399999999999"/>
  </r>
  <r>
    <s v="ORD200880"/>
    <x v="495"/>
    <s v="C85074"/>
    <x v="5"/>
    <n v="4"/>
    <n v="233.7"/>
    <s v="506 Main St"/>
    <x v="1"/>
    <x v="0"/>
    <s v="TRK63133878"/>
    <n v="8"/>
    <s v="SAVE10"/>
    <x v="3"/>
    <n v="934.8"/>
  </r>
  <r>
    <s v="ORD200881"/>
    <x v="570"/>
    <s v="C59579"/>
    <x v="2"/>
    <n v="2"/>
    <n v="448.85"/>
    <s v="386 Main St"/>
    <x v="2"/>
    <x v="4"/>
    <s v="TRK48000034"/>
    <n v="6"/>
    <s v="NO COUPON CODE"/>
    <x v="0"/>
    <n v="897.7"/>
  </r>
  <r>
    <s v="ORD200882"/>
    <x v="164"/>
    <s v="C43335"/>
    <x v="1"/>
    <n v="2"/>
    <n v="274.12"/>
    <s v="533 Main St"/>
    <x v="4"/>
    <x v="3"/>
    <s v="TRK91848650"/>
    <n v="6"/>
    <s v="FREESHIP"/>
    <x v="1"/>
    <n v="548.24"/>
  </r>
  <r>
    <s v="ORD200883"/>
    <x v="557"/>
    <s v="C43595"/>
    <x v="4"/>
    <n v="5"/>
    <n v="561.48"/>
    <s v="451 Main St"/>
    <x v="1"/>
    <x v="3"/>
    <s v="TRK25317348"/>
    <n v="9"/>
    <s v="FREESHIP"/>
    <x v="3"/>
    <n v="2807.4"/>
  </r>
  <r>
    <s v="ORD200884"/>
    <x v="571"/>
    <s v="C71471"/>
    <x v="3"/>
    <n v="1"/>
    <n v="595.54"/>
    <s v="817 Main St"/>
    <x v="3"/>
    <x v="0"/>
    <s v="TRK52137079"/>
    <n v="4"/>
    <s v="NO COUPON CODE"/>
    <x v="0"/>
    <n v="595.54"/>
  </r>
  <r>
    <s v="ORD200885"/>
    <x v="158"/>
    <s v="C61090"/>
    <x v="5"/>
    <n v="4"/>
    <n v="515.59"/>
    <s v="387 Main St"/>
    <x v="2"/>
    <x v="0"/>
    <s v="TRK36388962"/>
    <n v="7"/>
    <s v="FREESHIP"/>
    <x v="4"/>
    <n v="2062.36"/>
  </r>
  <r>
    <s v="ORD200886"/>
    <x v="385"/>
    <s v="C29620"/>
    <x v="1"/>
    <n v="1"/>
    <n v="460.13"/>
    <s v="792 Main St"/>
    <x v="2"/>
    <x v="2"/>
    <s v="TRK22046456"/>
    <n v="1"/>
    <s v="NO COUPON CODE"/>
    <x v="4"/>
    <n v="460.13"/>
  </r>
  <r>
    <s v="ORD200887"/>
    <x v="36"/>
    <s v="C67932"/>
    <x v="3"/>
    <n v="3"/>
    <n v="171.66"/>
    <s v="857 Main St"/>
    <x v="0"/>
    <x v="3"/>
    <s v="TRK88547534"/>
    <n v="7"/>
    <s v="NO COUPON CODE"/>
    <x v="4"/>
    <n v="514.98"/>
  </r>
  <r>
    <s v="ORD200888"/>
    <x v="572"/>
    <s v="C14427"/>
    <x v="5"/>
    <n v="2"/>
    <n v="266.95"/>
    <s v="833 Main St"/>
    <x v="2"/>
    <x v="4"/>
    <s v="TRK58024529"/>
    <n v="3"/>
    <s v="NO COUPON CODE"/>
    <x v="0"/>
    <n v="533.9"/>
  </r>
  <r>
    <s v="ORD200889"/>
    <x v="245"/>
    <s v="C36725"/>
    <x v="0"/>
    <n v="5"/>
    <n v="650.72"/>
    <s v="350 Main St"/>
    <x v="2"/>
    <x v="1"/>
    <s v="TRK16808790"/>
    <n v="8"/>
    <s v="WINTER15"/>
    <x v="2"/>
    <n v="3253.6"/>
  </r>
  <r>
    <s v="ORD200890"/>
    <x v="178"/>
    <s v="C51921"/>
    <x v="5"/>
    <n v="3"/>
    <n v="439.53"/>
    <s v="943 Main St"/>
    <x v="0"/>
    <x v="4"/>
    <s v="TRK85741716"/>
    <n v="5"/>
    <s v="NO COUPON CODE"/>
    <x v="4"/>
    <n v="1318.59"/>
  </r>
  <r>
    <s v="ORD200891"/>
    <x v="433"/>
    <s v="C36534"/>
    <x v="0"/>
    <n v="3"/>
    <n v="654.54"/>
    <s v="918 Main St"/>
    <x v="4"/>
    <x v="2"/>
    <s v="TRK38952138"/>
    <n v="7"/>
    <s v="SAVE10"/>
    <x v="1"/>
    <n v="1963.62"/>
  </r>
  <r>
    <s v="ORD200892"/>
    <x v="573"/>
    <s v="C72043"/>
    <x v="6"/>
    <n v="1"/>
    <n v="394.53"/>
    <s v="480 Main St"/>
    <x v="4"/>
    <x v="0"/>
    <s v="TRK40896408"/>
    <n v="2"/>
    <s v="FREESHIP"/>
    <x v="1"/>
    <n v="394.53"/>
  </r>
  <r>
    <s v="ORD200893"/>
    <x v="574"/>
    <s v="C99533"/>
    <x v="0"/>
    <n v="1"/>
    <n v="678.01"/>
    <s v="696 Main St"/>
    <x v="4"/>
    <x v="4"/>
    <s v="TRK55701253"/>
    <n v="4"/>
    <s v="FREESHIP"/>
    <x v="1"/>
    <n v="678.01"/>
  </r>
  <r>
    <s v="ORD200894"/>
    <x v="575"/>
    <s v="C90852"/>
    <x v="2"/>
    <n v="3"/>
    <n v="575.01"/>
    <s v="852 Main St"/>
    <x v="1"/>
    <x v="1"/>
    <s v="TRK37551831"/>
    <n v="8"/>
    <s v="WINTER15"/>
    <x v="0"/>
    <n v="1725.03"/>
  </r>
  <r>
    <s v="ORD200895"/>
    <x v="576"/>
    <s v="C81882"/>
    <x v="3"/>
    <n v="3"/>
    <n v="154.63999999999999"/>
    <s v="832 Main St"/>
    <x v="0"/>
    <x v="4"/>
    <s v="TRK62371264"/>
    <n v="6"/>
    <s v="WINTER15"/>
    <x v="3"/>
    <n v="463.92"/>
  </r>
  <r>
    <s v="ORD200896"/>
    <x v="266"/>
    <s v="C85466"/>
    <x v="6"/>
    <n v="3"/>
    <n v="147.29"/>
    <s v="102 Main St"/>
    <x v="3"/>
    <x v="0"/>
    <s v="TRK66764177"/>
    <n v="3"/>
    <s v="FREESHIP"/>
    <x v="4"/>
    <n v="441.87"/>
  </r>
  <r>
    <s v="ORD200897"/>
    <x v="459"/>
    <s v="C87995"/>
    <x v="5"/>
    <n v="4"/>
    <n v="481.48"/>
    <s v="358 Main St"/>
    <x v="3"/>
    <x v="3"/>
    <s v="TRK38730545"/>
    <n v="5"/>
    <s v="SAVE10"/>
    <x v="0"/>
    <n v="1925.92"/>
  </r>
  <r>
    <s v="ORD200898"/>
    <x v="376"/>
    <s v="C44619"/>
    <x v="0"/>
    <n v="3"/>
    <n v="158.37"/>
    <s v="742 Main St"/>
    <x v="4"/>
    <x v="0"/>
    <s v="TRK66662528"/>
    <n v="6"/>
    <s v="NO COUPON CODE"/>
    <x v="1"/>
    <n v="475.11"/>
  </r>
  <r>
    <s v="ORD200899"/>
    <x v="577"/>
    <s v="C99904"/>
    <x v="4"/>
    <n v="2"/>
    <n v="323.37"/>
    <s v="552 Main St"/>
    <x v="1"/>
    <x v="4"/>
    <s v="TRK83843411"/>
    <n v="3"/>
    <s v="SAVE10"/>
    <x v="0"/>
    <n v="646.74"/>
  </r>
  <r>
    <s v="ORD200900"/>
    <x v="492"/>
    <s v="C52342"/>
    <x v="5"/>
    <n v="5"/>
    <n v="73.83"/>
    <s v="991 Main St"/>
    <x v="0"/>
    <x v="4"/>
    <s v="TRK67342586"/>
    <n v="9"/>
    <s v="NO COUPON CODE"/>
    <x v="0"/>
    <n v="369.15"/>
  </r>
  <r>
    <s v="ORD200901"/>
    <x v="578"/>
    <s v="C44277"/>
    <x v="2"/>
    <n v="1"/>
    <n v="458.63"/>
    <s v="839 Main St"/>
    <x v="0"/>
    <x v="2"/>
    <s v="TRK79321479"/>
    <n v="4"/>
    <s v="WINTER15"/>
    <x v="1"/>
    <n v="458.63"/>
  </r>
  <r>
    <s v="ORD200902"/>
    <x v="579"/>
    <s v="C61162"/>
    <x v="0"/>
    <n v="4"/>
    <n v="180.25"/>
    <s v="813 Main St"/>
    <x v="0"/>
    <x v="1"/>
    <s v="TRK76712124"/>
    <n v="7"/>
    <s v="NO COUPON CODE"/>
    <x v="3"/>
    <n v="721"/>
  </r>
  <r>
    <s v="ORD200903"/>
    <x v="209"/>
    <s v="C80868"/>
    <x v="0"/>
    <n v="3"/>
    <n v="473.49"/>
    <s v="205 Main St"/>
    <x v="2"/>
    <x v="4"/>
    <s v="TRK56186636"/>
    <n v="7"/>
    <s v="NO COUPON CODE"/>
    <x v="2"/>
    <n v="1420.47"/>
  </r>
  <r>
    <s v="ORD200904"/>
    <x v="580"/>
    <s v="C16693"/>
    <x v="0"/>
    <n v="4"/>
    <n v="237.43"/>
    <s v="262 Main St"/>
    <x v="4"/>
    <x v="1"/>
    <s v="TRK41146508"/>
    <n v="8"/>
    <s v="WINTER15"/>
    <x v="1"/>
    <n v="949.72"/>
  </r>
  <r>
    <s v="ORD200905"/>
    <x v="581"/>
    <s v="C67818"/>
    <x v="5"/>
    <n v="1"/>
    <n v="442.39"/>
    <s v="101 Main St"/>
    <x v="3"/>
    <x v="4"/>
    <s v="TRK81978113"/>
    <n v="6"/>
    <s v="FREESHIP"/>
    <x v="3"/>
    <n v="442.39"/>
  </r>
  <r>
    <s v="ORD200906"/>
    <x v="459"/>
    <s v="C49938"/>
    <x v="0"/>
    <n v="1"/>
    <n v="62.12"/>
    <s v="141 Main St"/>
    <x v="4"/>
    <x v="2"/>
    <s v="TRK80175572"/>
    <n v="2"/>
    <s v="NO COUPON CODE"/>
    <x v="2"/>
    <n v="62.12"/>
  </r>
  <r>
    <s v="ORD200907"/>
    <x v="548"/>
    <s v="C90898"/>
    <x v="6"/>
    <n v="5"/>
    <n v="298.39"/>
    <s v="583 Main St"/>
    <x v="3"/>
    <x v="1"/>
    <s v="TRK52935170"/>
    <n v="7"/>
    <s v="WINTER15"/>
    <x v="1"/>
    <n v="1491.95"/>
  </r>
  <r>
    <s v="ORD200908"/>
    <x v="138"/>
    <s v="C35117"/>
    <x v="6"/>
    <n v="2"/>
    <n v="697.93"/>
    <s v="332 Main St"/>
    <x v="2"/>
    <x v="1"/>
    <s v="TRK27155709"/>
    <n v="2"/>
    <s v="SAVE10"/>
    <x v="4"/>
    <n v="1395.86"/>
  </r>
  <r>
    <s v="ORD200909"/>
    <x v="582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x v="583"/>
    <s v="C36174"/>
    <x v="4"/>
    <n v="3"/>
    <n v="308.98"/>
    <s v="348 Main St"/>
    <x v="4"/>
    <x v="3"/>
    <s v="TRK26397548"/>
    <n v="3"/>
    <s v="SAVE10"/>
    <x v="0"/>
    <n v="926.94"/>
  </r>
  <r>
    <s v="ORD200911"/>
    <x v="584"/>
    <s v="C80872"/>
    <x v="6"/>
    <n v="5"/>
    <n v="396.86"/>
    <s v="593 Main St"/>
    <x v="4"/>
    <x v="1"/>
    <s v="TRK43967487"/>
    <n v="9"/>
    <s v="SAVE10"/>
    <x v="0"/>
    <n v="1984.3"/>
  </r>
  <r>
    <s v="ORD200912"/>
    <x v="585"/>
    <s v="C67604"/>
    <x v="6"/>
    <n v="2"/>
    <n v="139.69"/>
    <s v="318 Main St"/>
    <x v="1"/>
    <x v="2"/>
    <s v="TRK85545920"/>
    <n v="7"/>
    <s v="FREESHIP"/>
    <x v="2"/>
    <n v="279.38"/>
  </r>
  <r>
    <s v="ORD200913"/>
    <x v="223"/>
    <s v="C45599"/>
    <x v="4"/>
    <n v="5"/>
    <n v="475.95"/>
    <s v="505 Main St"/>
    <x v="2"/>
    <x v="2"/>
    <s v="TRK62277685"/>
    <n v="8"/>
    <s v="WINTER15"/>
    <x v="3"/>
    <n v="2379.75"/>
  </r>
  <r>
    <s v="ORD200914"/>
    <x v="441"/>
    <s v="C70352"/>
    <x v="6"/>
    <n v="1"/>
    <n v="626.6"/>
    <s v="955 Main St"/>
    <x v="3"/>
    <x v="2"/>
    <s v="TRK51589589"/>
    <n v="4"/>
    <s v="WINTER15"/>
    <x v="3"/>
    <n v="626.6"/>
  </r>
  <r>
    <s v="ORD200915"/>
    <x v="586"/>
    <s v="C20643"/>
    <x v="5"/>
    <n v="4"/>
    <n v="502.99"/>
    <s v="939 Main St"/>
    <x v="0"/>
    <x v="0"/>
    <s v="TRK30736692"/>
    <n v="4"/>
    <s v="WINTER15"/>
    <x v="1"/>
    <n v="2011.96"/>
  </r>
  <r>
    <s v="ORD200916"/>
    <x v="587"/>
    <s v="C35669"/>
    <x v="4"/>
    <n v="5"/>
    <n v="578.83000000000004"/>
    <s v="165 Main St"/>
    <x v="4"/>
    <x v="2"/>
    <s v="TRK13928455"/>
    <n v="6"/>
    <s v="NO COUPON CODE"/>
    <x v="1"/>
    <n v="2894.15"/>
  </r>
  <r>
    <s v="ORD200917"/>
    <x v="588"/>
    <s v="C65524"/>
    <x v="5"/>
    <n v="5"/>
    <n v="383.82"/>
    <s v="836 Main St"/>
    <x v="2"/>
    <x v="2"/>
    <s v="TRK19315310"/>
    <n v="7"/>
    <s v="FREESHIP"/>
    <x v="4"/>
    <n v="1919.1"/>
  </r>
  <r>
    <s v="ORD200918"/>
    <x v="53"/>
    <s v="C74359"/>
    <x v="5"/>
    <n v="5"/>
    <n v="368.25"/>
    <s v="706 Main St"/>
    <x v="1"/>
    <x v="3"/>
    <s v="TRK18250450"/>
    <n v="5"/>
    <s v="NO COUPON CODE"/>
    <x v="0"/>
    <n v="1841.25"/>
  </r>
  <r>
    <s v="ORD200919"/>
    <x v="492"/>
    <s v="C92086"/>
    <x v="4"/>
    <n v="2"/>
    <n v="374.6"/>
    <s v="187 Main St"/>
    <x v="1"/>
    <x v="0"/>
    <s v="TRK23357668"/>
    <n v="3"/>
    <s v="FREESHIP"/>
    <x v="1"/>
    <n v="749.2"/>
  </r>
  <r>
    <s v="ORD200920"/>
    <x v="495"/>
    <s v="C26137"/>
    <x v="2"/>
    <n v="2"/>
    <n v="428.09"/>
    <s v="978 Main St"/>
    <x v="2"/>
    <x v="2"/>
    <s v="TRK98110407"/>
    <n v="6"/>
    <s v="NO COUPON CODE"/>
    <x v="0"/>
    <n v="856.18"/>
  </r>
  <r>
    <s v="ORD200921"/>
    <x v="528"/>
    <s v="C90573"/>
    <x v="2"/>
    <n v="1"/>
    <n v="438.93"/>
    <s v="144 Main St"/>
    <x v="3"/>
    <x v="1"/>
    <s v="TRK90075720"/>
    <n v="3"/>
    <s v="SAVE10"/>
    <x v="1"/>
    <n v="438.93"/>
  </r>
  <r>
    <s v="ORD200922"/>
    <x v="589"/>
    <s v="C81857"/>
    <x v="6"/>
    <n v="2"/>
    <n v="563.82000000000005"/>
    <s v="487 Main St"/>
    <x v="2"/>
    <x v="4"/>
    <s v="TRK79737732"/>
    <n v="3"/>
    <s v="NO COUPON CODE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x v="29"/>
    <s v="C81319"/>
    <x v="4"/>
    <n v="5"/>
    <n v="268.43"/>
    <s v="991 Main St"/>
    <x v="4"/>
    <x v="2"/>
    <s v="TRK55330558"/>
    <n v="5"/>
    <s v="SAVE10"/>
    <x v="2"/>
    <n v="1342.15"/>
  </r>
  <r>
    <s v="ORD200925"/>
    <x v="590"/>
    <s v="C78500"/>
    <x v="0"/>
    <n v="5"/>
    <n v="502.47"/>
    <s v="304 Main St"/>
    <x v="1"/>
    <x v="0"/>
    <s v="TRK97460884"/>
    <n v="10"/>
    <s v="WINTER15"/>
    <x v="2"/>
    <n v="2512.35"/>
  </r>
  <r>
    <s v="ORD200926"/>
    <x v="591"/>
    <s v="C67533"/>
    <x v="6"/>
    <n v="1"/>
    <n v="26.95"/>
    <s v="672 Main St"/>
    <x v="4"/>
    <x v="3"/>
    <s v="TRK14566395"/>
    <n v="1"/>
    <s v="WINTER15"/>
    <x v="2"/>
    <n v="26.95"/>
  </r>
  <r>
    <s v="ORD200927"/>
    <x v="592"/>
    <s v="C35566"/>
    <x v="5"/>
    <n v="4"/>
    <n v="64.69"/>
    <s v="638 Main St"/>
    <x v="0"/>
    <x v="0"/>
    <s v="TRK10003020"/>
    <n v="7"/>
    <s v="WINTER15"/>
    <x v="4"/>
    <n v="258.76"/>
  </r>
  <r>
    <s v="ORD200928"/>
    <x v="593"/>
    <s v="C77166"/>
    <x v="5"/>
    <n v="3"/>
    <n v="247.11"/>
    <s v="821 Main St"/>
    <x v="0"/>
    <x v="2"/>
    <s v="TRK18896595"/>
    <n v="3"/>
    <s v="WINTER15"/>
    <x v="1"/>
    <n v="741.33"/>
  </r>
  <r>
    <s v="ORD200929"/>
    <x v="594"/>
    <s v="C67936"/>
    <x v="2"/>
    <n v="2"/>
    <n v="536.25"/>
    <s v="553 Main St"/>
    <x v="0"/>
    <x v="4"/>
    <s v="TRK71803414"/>
    <n v="3"/>
    <s v="NO COUPON CODE"/>
    <x v="2"/>
    <n v="1072.5"/>
  </r>
  <r>
    <s v="ORD200930"/>
    <x v="393"/>
    <s v="C59554"/>
    <x v="1"/>
    <n v="2"/>
    <n v="456.04"/>
    <s v="382 Main St"/>
    <x v="0"/>
    <x v="2"/>
    <s v="TRK28182447"/>
    <n v="4"/>
    <s v="FREESHIP"/>
    <x v="2"/>
    <n v="912.08"/>
  </r>
  <r>
    <s v="ORD200931"/>
    <x v="543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x v="465"/>
    <s v="C26118"/>
    <x v="5"/>
    <n v="2"/>
    <n v="72.39"/>
    <s v="168 Main St"/>
    <x v="1"/>
    <x v="3"/>
    <s v="TRK15334251"/>
    <n v="7"/>
    <s v="WINTER15"/>
    <x v="0"/>
    <n v="144.78"/>
  </r>
  <r>
    <s v="ORD200933"/>
    <x v="595"/>
    <s v="C59685"/>
    <x v="0"/>
    <n v="2"/>
    <n v="394.16"/>
    <s v="255 Main St"/>
    <x v="1"/>
    <x v="0"/>
    <s v="TRK43718093"/>
    <n v="2"/>
    <s v="NO COUPON CODE"/>
    <x v="1"/>
    <n v="788.32"/>
  </r>
  <r>
    <s v="ORD200934"/>
    <x v="565"/>
    <s v="C40304"/>
    <x v="5"/>
    <n v="4"/>
    <n v="119.84"/>
    <s v="692 Main St"/>
    <x v="3"/>
    <x v="0"/>
    <s v="TRK85790948"/>
    <n v="8"/>
    <s v="FREESHIP"/>
    <x v="1"/>
    <n v="479.36"/>
  </r>
  <r>
    <s v="ORD200935"/>
    <x v="254"/>
    <s v="C39593"/>
    <x v="1"/>
    <n v="3"/>
    <n v="692.71"/>
    <s v="398 Main St"/>
    <x v="2"/>
    <x v="3"/>
    <s v="TRK62405253"/>
    <n v="3"/>
    <s v="FREESHIP"/>
    <x v="0"/>
    <n v="2078.13"/>
  </r>
  <r>
    <s v="ORD200936"/>
    <x v="596"/>
    <s v="C50612"/>
    <x v="3"/>
    <n v="4"/>
    <n v="56.66"/>
    <s v="737 Main St"/>
    <x v="1"/>
    <x v="3"/>
    <s v="TRK44140968"/>
    <n v="4"/>
    <s v="SAVE10"/>
    <x v="0"/>
    <n v="226.64"/>
  </r>
  <r>
    <s v="ORD200937"/>
    <x v="462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x v="219"/>
    <s v="C39017"/>
    <x v="3"/>
    <n v="3"/>
    <n v="331.46"/>
    <s v="696 Main St"/>
    <x v="2"/>
    <x v="1"/>
    <s v="TRK91155214"/>
    <n v="6"/>
    <s v="WINTER15"/>
    <x v="1"/>
    <n v="994.37999999999988"/>
  </r>
  <r>
    <s v="ORD200939"/>
    <x v="597"/>
    <s v="C48510"/>
    <x v="5"/>
    <n v="2"/>
    <n v="521.4"/>
    <s v="212 Main St"/>
    <x v="4"/>
    <x v="3"/>
    <s v="TRK53152886"/>
    <n v="7"/>
    <s v="SAVE10"/>
    <x v="0"/>
    <n v="1042.8"/>
  </r>
  <r>
    <s v="ORD200940"/>
    <x v="14"/>
    <s v="C74003"/>
    <x v="4"/>
    <n v="4"/>
    <n v="305.32"/>
    <s v="679 Main St"/>
    <x v="1"/>
    <x v="1"/>
    <s v="TRK91525779"/>
    <n v="4"/>
    <s v="SAVE10"/>
    <x v="4"/>
    <n v="1221.28"/>
  </r>
  <r>
    <s v="ORD200941"/>
    <x v="15"/>
    <s v="C91155"/>
    <x v="4"/>
    <n v="5"/>
    <n v="111.7"/>
    <s v="599 Main St"/>
    <x v="2"/>
    <x v="1"/>
    <s v="TRK82162952"/>
    <n v="9"/>
    <s v="FREESHIP"/>
    <x v="2"/>
    <n v="558.5"/>
  </r>
  <r>
    <s v="ORD200942"/>
    <x v="372"/>
    <s v="C17591"/>
    <x v="2"/>
    <n v="1"/>
    <n v="479.76"/>
    <s v="882 Main St"/>
    <x v="2"/>
    <x v="4"/>
    <s v="TRK56070470"/>
    <n v="1"/>
    <s v="NO COUPON CODE"/>
    <x v="2"/>
    <n v="479.76"/>
  </r>
  <r>
    <s v="ORD200943"/>
    <x v="140"/>
    <s v="C43330"/>
    <x v="0"/>
    <n v="3"/>
    <n v="193.49"/>
    <s v="355 Main St"/>
    <x v="3"/>
    <x v="2"/>
    <s v="TRK71594838"/>
    <n v="6"/>
    <s v="FREESHIP"/>
    <x v="3"/>
    <n v="580.47"/>
  </r>
  <r>
    <s v="ORD200944"/>
    <x v="393"/>
    <s v="C32687"/>
    <x v="5"/>
    <n v="2"/>
    <n v="426.22"/>
    <s v="448 Main St"/>
    <x v="1"/>
    <x v="3"/>
    <s v="TRK98284560"/>
    <n v="7"/>
    <s v="WINTER15"/>
    <x v="4"/>
    <n v="852.44"/>
  </r>
  <r>
    <s v="ORD200945"/>
    <x v="38"/>
    <s v="C79722"/>
    <x v="2"/>
    <n v="5"/>
    <n v="276.44"/>
    <s v="619 Main St"/>
    <x v="3"/>
    <x v="0"/>
    <s v="TRK29976438"/>
    <n v="10"/>
    <s v="FREESHIP"/>
    <x v="1"/>
    <n v="1382.2"/>
  </r>
  <r>
    <s v="ORD200946"/>
    <x v="598"/>
    <s v="C65021"/>
    <x v="1"/>
    <n v="2"/>
    <n v="404.96"/>
    <s v="546 Main St"/>
    <x v="4"/>
    <x v="0"/>
    <s v="TRK20626179"/>
    <n v="4"/>
    <s v="SAVE10"/>
    <x v="2"/>
    <n v="809.92"/>
  </r>
  <r>
    <s v="ORD200947"/>
    <x v="599"/>
    <s v="C85520"/>
    <x v="1"/>
    <n v="4"/>
    <n v="465.66"/>
    <s v="119 Main St"/>
    <x v="1"/>
    <x v="2"/>
    <s v="TRK65994177"/>
    <n v="9"/>
    <s v="FREESHIP"/>
    <x v="2"/>
    <n v="1862.64"/>
  </r>
  <r>
    <s v="ORD200948"/>
    <x v="587"/>
    <s v="C94569"/>
    <x v="1"/>
    <n v="2"/>
    <n v="594.07000000000005"/>
    <s v="739 Main St"/>
    <x v="3"/>
    <x v="1"/>
    <s v="TRK79269291"/>
    <n v="2"/>
    <s v="NO COUPON CODE"/>
    <x v="4"/>
    <n v="1188.1400000000001"/>
  </r>
  <r>
    <s v="ORD200949"/>
    <x v="576"/>
    <s v="C55778"/>
    <x v="6"/>
    <n v="5"/>
    <n v="110.38"/>
    <s v="319 Main St"/>
    <x v="4"/>
    <x v="4"/>
    <s v="TRK93797108"/>
    <n v="10"/>
    <s v="NO COUPON CODE"/>
    <x v="1"/>
    <n v="551.9"/>
  </r>
  <r>
    <s v="ORD200950"/>
    <x v="583"/>
    <s v="C19722"/>
    <x v="5"/>
    <n v="1"/>
    <n v="596.24"/>
    <s v="891 Main St"/>
    <x v="2"/>
    <x v="2"/>
    <s v="TRK78094361"/>
    <n v="4"/>
    <s v="FREESHIP"/>
    <x v="0"/>
    <n v="596.24"/>
  </r>
  <r>
    <s v="ORD200951"/>
    <x v="319"/>
    <s v="C74928"/>
    <x v="4"/>
    <n v="2"/>
    <n v="306.24"/>
    <s v="589 Main St"/>
    <x v="1"/>
    <x v="2"/>
    <s v="TRK39845914"/>
    <n v="4"/>
    <s v="FREESHIP"/>
    <x v="2"/>
    <n v="612.48"/>
  </r>
  <r>
    <s v="ORD200952"/>
    <x v="37"/>
    <s v="C49111"/>
    <x v="0"/>
    <n v="3"/>
    <n v="503.39"/>
    <s v="225 Main St"/>
    <x v="1"/>
    <x v="4"/>
    <s v="TRK45303393"/>
    <n v="5"/>
    <s v="NO COUPON CODE"/>
    <x v="3"/>
    <n v="1510.17"/>
  </r>
  <r>
    <s v="ORD200953"/>
    <x v="6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x v="601"/>
    <s v="C68609"/>
    <x v="3"/>
    <n v="3"/>
    <n v="443.44"/>
    <s v="240 Main St"/>
    <x v="3"/>
    <x v="0"/>
    <s v="TRK58273778"/>
    <n v="3"/>
    <s v="FREESHIP"/>
    <x v="4"/>
    <n v="1330.32"/>
  </r>
  <r>
    <s v="ORD200955"/>
    <x v="19"/>
    <s v="C82068"/>
    <x v="3"/>
    <n v="1"/>
    <n v="408.13"/>
    <s v="164 Main St"/>
    <x v="3"/>
    <x v="0"/>
    <s v="TRK25779180"/>
    <n v="3"/>
    <s v="WINTER15"/>
    <x v="0"/>
    <n v="408.13"/>
  </r>
  <r>
    <s v="ORD200956"/>
    <x v="166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x v="602"/>
    <s v="C73575"/>
    <x v="0"/>
    <n v="5"/>
    <n v="643.89"/>
    <s v="851 Main St"/>
    <x v="4"/>
    <x v="2"/>
    <s v="TRK23387612"/>
    <n v="8"/>
    <s v="WINTER15"/>
    <x v="3"/>
    <n v="3219.45"/>
  </r>
  <r>
    <s v="ORD200958"/>
    <x v="603"/>
    <s v="C82685"/>
    <x v="6"/>
    <n v="3"/>
    <n v="158.66"/>
    <s v="537 Main St"/>
    <x v="3"/>
    <x v="3"/>
    <s v="TRK70184320"/>
    <n v="7"/>
    <s v="WINTER15"/>
    <x v="2"/>
    <n v="475.98"/>
  </r>
  <r>
    <s v="ORD200959"/>
    <x v="604"/>
    <s v="C73996"/>
    <x v="2"/>
    <n v="2"/>
    <n v="143.82"/>
    <s v="856 Main St"/>
    <x v="2"/>
    <x v="2"/>
    <s v="TRK74579570"/>
    <n v="6"/>
    <s v="SAVE10"/>
    <x v="0"/>
    <n v="287.64"/>
  </r>
  <r>
    <s v="ORD200960"/>
    <x v="66"/>
    <s v="C87687"/>
    <x v="5"/>
    <n v="3"/>
    <n v="379.07"/>
    <s v="312 Main St"/>
    <x v="3"/>
    <x v="4"/>
    <s v="TRK60383805"/>
    <n v="3"/>
    <s v="WINTER15"/>
    <x v="4"/>
    <n v="1137.21"/>
  </r>
  <r>
    <s v="ORD200961"/>
    <x v="435"/>
    <s v="C55464"/>
    <x v="1"/>
    <n v="1"/>
    <n v="601.36"/>
    <s v="532 Main St"/>
    <x v="1"/>
    <x v="0"/>
    <s v="TRK81178598"/>
    <n v="1"/>
    <s v="NO COUPON CODE"/>
    <x v="3"/>
    <n v="601.36"/>
  </r>
  <r>
    <s v="ORD200962"/>
    <x v="605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x v="606"/>
    <s v="C88075"/>
    <x v="3"/>
    <n v="5"/>
    <n v="530.34"/>
    <s v="970 Main St"/>
    <x v="1"/>
    <x v="0"/>
    <s v="TRK42832976"/>
    <n v="9"/>
    <s v="FREESHIP"/>
    <x v="4"/>
    <n v="2651.7"/>
  </r>
  <r>
    <s v="ORD200964"/>
    <x v="38"/>
    <s v="C18583"/>
    <x v="1"/>
    <n v="5"/>
    <n v="364.42"/>
    <s v="778 Main St"/>
    <x v="2"/>
    <x v="1"/>
    <s v="TRK43084595"/>
    <n v="10"/>
    <s v="SAVE10"/>
    <x v="1"/>
    <n v="1822.1"/>
  </r>
  <r>
    <s v="ORD200965"/>
    <x v="607"/>
    <s v="C70412"/>
    <x v="5"/>
    <n v="4"/>
    <n v="578.28"/>
    <s v="791 Main St"/>
    <x v="3"/>
    <x v="1"/>
    <s v="TRK22192783"/>
    <n v="5"/>
    <s v="FREESHIP"/>
    <x v="2"/>
    <n v="2313.12"/>
  </r>
  <r>
    <s v="ORD200966"/>
    <x v="608"/>
    <s v="C58503"/>
    <x v="0"/>
    <n v="5"/>
    <n v="280.52"/>
    <s v="290 Main St"/>
    <x v="2"/>
    <x v="1"/>
    <s v="TRK12981657"/>
    <n v="7"/>
    <s v="WINTER15"/>
    <x v="3"/>
    <n v="1402.6"/>
  </r>
  <r>
    <s v="ORD200967"/>
    <x v="138"/>
    <s v="C52879"/>
    <x v="2"/>
    <n v="5"/>
    <n v="638.91999999999996"/>
    <s v="502 Main St"/>
    <x v="2"/>
    <x v="2"/>
    <s v="TRK67403284"/>
    <n v="5"/>
    <s v="FREESHIP"/>
    <x v="4"/>
    <n v="3194.6"/>
  </r>
  <r>
    <s v="ORD200968"/>
    <x v="458"/>
    <s v="C67870"/>
    <x v="0"/>
    <n v="4"/>
    <n v="412.2"/>
    <s v="664 Main St"/>
    <x v="2"/>
    <x v="0"/>
    <s v="TRK72602178"/>
    <n v="6"/>
    <s v="WINTER15"/>
    <x v="1"/>
    <n v="1648.8"/>
  </r>
  <r>
    <s v="ORD200969"/>
    <x v="85"/>
    <s v="C19439"/>
    <x v="6"/>
    <n v="1"/>
    <n v="440.34"/>
    <s v="675 Main St"/>
    <x v="3"/>
    <x v="0"/>
    <s v="TRK25383993"/>
    <n v="2"/>
    <s v="WINTER15"/>
    <x v="3"/>
    <n v="440.34"/>
  </r>
  <r>
    <s v="ORD200970"/>
    <x v="609"/>
    <s v="C72664"/>
    <x v="6"/>
    <n v="1"/>
    <n v="627.15"/>
    <s v="241 Main St"/>
    <x v="4"/>
    <x v="3"/>
    <s v="TRK86694331"/>
    <n v="5"/>
    <s v="SAVE10"/>
    <x v="0"/>
    <n v="627.15"/>
  </r>
  <r>
    <s v="ORD200971"/>
    <x v="582"/>
    <s v="C32650"/>
    <x v="0"/>
    <n v="2"/>
    <n v="605.26"/>
    <s v="934 Main St"/>
    <x v="4"/>
    <x v="1"/>
    <s v="TRK66648743"/>
    <n v="4"/>
    <s v="WINTER15"/>
    <x v="1"/>
    <n v="1210.52"/>
  </r>
  <r>
    <s v="ORD200972"/>
    <x v="410"/>
    <s v="C66438"/>
    <x v="5"/>
    <n v="1"/>
    <n v="90.27"/>
    <s v="816 Main St"/>
    <x v="4"/>
    <x v="3"/>
    <s v="TRK32035271"/>
    <n v="5"/>
    <s v="SAVE10"/>
    <x v="3"/>
    <n v="90.27"/>
  </r>
  <r>
    <s v="ORD200973"/>
    <x v="559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s v="NO COUPON CODE"/>
    <x v="2"/>
    <n v="1333.9"/>
  </r>
  <r>
    <s v="ORD200975"/>
    <x v="419"/>
    <s v="C70529"/>
    <x v="6"/>
    <n v="1"/>
    <n v="105.92"/>
    <s v="974 Main St"/>
    <x v="3"/>
    <x v="2"/>
    <s v="TRK82165408"/>
    <n v="6"/>
    <s v="SAVE10"/>
    <x v="2"/>
    <n v="105.92"/>
  </r>
  <r>
    <s v="ORD200976"/>
    <x v="172"/>
    <s v="C18984"/>
    <x v="2"/>
    <n v="3"/>
    <n v="589.29999999999995"/>
    <s v="650 Main St"/>
    <x v="2"/>
    <x v="2"/>
    <s v="TRK49298239"/>
    <n v="6"/>
    <s v="WINTER15"/>
    <x v="1"/>
    <n v="1767.9"/>
  </r>
  <r>
    <s v="ORD200977"/>
    <x v="423"/>
    <s v="C85841"/>
    <x v="3"/>
    <n v="4"/>
    <n v="649.47"/>
    <s v="608 Main St"/>
    <x v="4"/>
    <x v="4"/>
    <s v="TRK99820544"/>
    <n v="8"/>
    <s v="SAVE10"/>
    <x v="4"/>
    <n v="2597.88"/>
  </r>
  <r>
    <s v="ORD200978"/>
    <x v="611"/>
    <s v="C41508"/>
    <x v="4"/>
    <n v="4"/>
    <n v="107.49"/>
    <s v="993 Main St"/>
    <x v="4"/>
    <x v="3"/>
    <s v="TRK61047536"/>
    <n v="5"/>
    <s v="NO COUPON CODE"/>
    <x v="4"/>
    <n v="429.96"/>
  </r>
  <r>
    <s v="ORD200979"/>
    <x v="546"/>
    <s v="C75018"/>
    <x v="0"/>
    <n v="3"/>
    <n v="669.06"/>
    <s v="299 Main St"/>
    <x v="4"/>
    <x v="3"/>
    <s v="TRK51794806"/>
    <n v="7"/>
    <s v="SAVE10"/>
    <x v="3"/>
    <n v="2007.18"/>
  </r>
  <r>
    <s v="ORD200980"/>
    <x v="612"/>
    <s v="C84320"/>
    <x v="3"/>
    <n v="3"/>
    <n v="69.650000000000006"/>
    <s v="107 Main St"/>
    <x v="4"/>
    <x v="3"/>
    <s v="TRK81093218"/>
    <n v="7"/>
    <s v="WINTER15"/>
    <x v="0"/>
    <n v="208.95"/>
  </r>
  <r>
    <s v="ORD200981"/>
    <x v="371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x v="605"/>
    <s v="C64935"/>
    <x v="0"/>
    <n v="1"/>
    <n v="304.11"/>
    <s v="707 Main St"/>
    <x v="3"/>
    <x v="0"/>
    <s v="TRK42969065"/>
    <n v="2"/>
    <s v="SAVE10"/>
    <x v="1"/>
    <n v="304.11"/>
  </r>
  <r>
    <s v="ORD200983"/>
    <x v="167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x v="252"/>
    <s v="C44176"/>
    <x v="6"/>
    <n v="1"/>
    <n v="77.64"/>
    <s v="706 Main St"/>
    <x v="2"/>
    <x v="0"/>
    <s v="TRK68704764"/>
    <n v="1"/>
    <s v="FREESHIP"/>
    <x v="3"/>
    <n v="77.64"/>
  </r>
  <r>
    <s v="ORD200985"/>
    <x v="351"/>
    <s v="C92788"/>
    <x v="6"/>
    <n v="1"/>
    <n v="243.71"/>
    <s v="948 Main St"/>
    <x v="3"/>
    <x v="3"/>
    <s v="TRK83835361"/>
    <n v="6"/>
    <s v="SAVE10"/>
    <x v="4"/>
    <n v="243.71"/>
  </r>
  <r>
    <s v="ORD200986"/>
    <x v="609"/>
    <s v="C69213"/>
    <x v="5"/>
    <n v="4"/>
    <n v="644.96"/>
    <s v="533 Main St"/>
    <x v="2"/>
    <x v="4"/>
    <s v="TRK67837331"/>
    <n v="7"/>
    <s v="FREESHIP"/>
    <x v="2"/>
    <n v="2579.84"/>
  </r>
  <r>
    <s v="ORD200987"/>
    <x v="85"/>
    <s v="C67387"/>
    <x v="1"/>
    <n v="5"/>
    <n v="283.73"/>
    <s v="436 Main St"/>
    <x v="3"/>
    <x v="4"/>
    <s v="TRK54120003"/>
    <n v="8"/>
    <s v="FREESHIP"/>
    <x v="0"/>
    <n v="1418.65"/>
  </r>
  <r>
    <s v="ORD200988"/>
    <x v="496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x v="613"/>
    <s v="C49995"/>
    <x v="5"/>
    <n v="4"/>
    <n v="246.11"/>
    <s v="559 Main St"/>
    <x v="2"/>
    <x v="4"/>
    <s v="TRK33212013"/>
    <n v="4"/>
    <s v="SAVE10"/>
    <x v="0"/>
    <n v="984.44"/>
  </r>
  <r>
    <s v="ORD200990"/>
    <x v="614"/>
    <s v="C52313"/>
    <x v="1"/>
    <n v="2"/>
    <n v="418.26"/>
    <s v="913 Main St"/>
    <x v="0"/>
    <x v="4"/>
    <s v="TRK67368559"/>
    <n v="2"/>
    <s v="SAVE10"/>
    <x v="4"/>
    <n v="836.52"/>
  </r>
  <r>
    <s v="ORD200991"/>
    <x v="593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x v="615"/>
    <s v="C97907"/>
    <x v="4"/>
    <n v="3"/>
    <n v="586.21"/>
    <s v="933 Main St"/>
    <x v="3"/>
    <x v="4"/>
    <s v="TRK89637569"/>
    <n v="4"/>
    <s v="WINTER15"/>
    <x v="1"/>
    <n v="1758.63"/>
  </r>
  <r>
    <s v="ORD200993"/>
    <x v="616"/>
    <s v="C61384"/>
    <x v="0"/>
    <n v="3"/>
    <n v="267.45"/>
    <s v="576 Main St"/>
    <x v="3"/>
    <x v="3"/>
    <s v="TRK33323210"/>
    <n v="5"/>
    <s v="WINTER15"/>
    <x v="0"/>
    <n v="802.34999999999991"/>
  </r>
  <r>
    <s v="ORD200994"/>
    <x v="326"/>
    <s v="C27613"/>
    <x v="2"/>
    <n v="4"/>
    <n v="615.65"/>
    <s v="971 Main St"/>
    <x v="0"/>
    <x v="3"/>
    <s v="TRK63701318"/>
    <n v="9"/>
    <s v="WINTER15"/>
    <x v="4"/>
    <n v="2462.6"/>
  </r>
  <r>
    <s v="ORD200995"/>
    <x v="134"/>
    <s v="C99271"/>
    <x v="0"/>
    <n v="2"/>
    <n v="113.29"/>
    <s v="959 Main St"/>
    <x v="4"/>
    <x v="4"/>
    <s v="TRK87832736"/>
    <n v="5"/>
    <s v="SAVE10"/>
    <x v="3"/>
    <n v="226.58"/>
  </r>
  <r>
    <s v="ORD200996"/>
    <x v="578"/>
    <s v="C28648"/>
    <x v="0"/>
    <n v="4"/>
    <n v="473.86"/>
    <s v="101 Main St"/>
    <x v="0"/>
    <x v="3"/>
    <s v="TRK92240846"/>
    <n v="7"/>
    <s v="SAVE10"/>
    <x v="3"/>
    <n v="1895.44"/>
  </r>
  <r>
    <s v="ORD200997"/>
    <x v="110"/>
    <s v="C26210"/>
    <x v="5"/>
    <n v="3"/>
    <n v="444.75"/>
    <s v="805 Main St"/>
    <x v="4"/>
    <x v="3"/>
    <s v="TRK40616861"/>
    <n v="6"/>
    <s v="SAVE10"/>
    <x v="3"/>
    <n v="1334.25"/>
  </r>
  <r>
    <s v="ORD200998"/>
    <x v="213"/>
    <s v="C90350"/>
    <x v="1"/>
    <n v="2"/>
    <n v="183.67"/>
    <s v="783 Main St"/>
    <x v="0"/>
    <x v="1"/>
    <s v="TRK22824230"/>
    <n v="6"/>
    <s v="SAVE10"/>
    <x v="4"/>
    <n v="367.34"/>
  </r>
  <r>
    <s v="ORD200999"/>
    <x v="478"/>
    <s v="C61957"/>
    <x v="4"/>
    <n v="1"/>
    <n v="483.38"/>
    <s v="652 Main St"/>
    <x v="4"/>
    <x v="4"/>
    <s v="TRK43983841"/>
    <n v="6"/>
    <s v="FREESHIP"/>
    <x v="4"/>
    <n v="483.38"/>
  </r>
  <r>
    <s v="ORD201000"/>
    <x v="617"/>
    <s v="C90132"/>
    <x v="4"/>
    <n v="5"/>
    <n v="260.93"/>
    <s v="582 Main St"/>
    <x v="1"/>
    <x v="3"/>
    <s v="TRK52664903"/>
    <n v="9"/>
    <s v="SAVE10"/>
    <x v="2"/>
    <n v="1304.6500000000001"/>
  </r>
  <r>
    <s v="ORD201001"/>
    <x v="618"/>
    <s v="C31371"/>
    <x v="4"/>
    <n v="2"/>
    <n v="253.68"/>
    <s v="122 Main St"/>
    <x v="3"/>
    <x v="0"/>
    <s v="TRK19554327"/>
    <n v="6"/>
    <s v="NO COUPON CODE"/>
    <x v="1"/>
    <n v="507.36"/>
  </r>
  <r>
    <s v="ORD201002"/>
    <x v="619"/>
    <s v="C83911"/>
    <x v="2"/>
    <n v="4"/>
    <n v="699.88"/>
    <s v="944 Main St"/>
    <x v="4"/>
    <x v="4"/>
    <s v="TRK33188106"/>
    <n v="5"/>
    <s v="WINTER15"/>
    <x v="1"/>
    <n v="2799.52"/>
  </r>
  <r>
    <s v="ORD201003"/>
    <x v="348"/>
    <s v="C84700"/>
    <x v="4"/>
    <n v="5"/>
    <n v="319.97000000000003"/>
    <s v="582 Main St"/>
    <x v="4"/>
    <x v="0"/>
    <s v="TRK14706969"/>
    <n v="7"/>
    <s v="SAVE10"/>
    <x v="4"/>
    <n v="1599.85"/>
  </r>
  <r>
    <s v="ORD201004"/>
    <x v="559"/>
    <s v="C87529"/>
    <x v="3"/>
    <n v="4"/>
    <n v="246.91"/>
    <s v="296 Main St"/>
    <x v="1"/>
    <x v="4"/>
    <s v="TRK15739505"/>
    <n v="8"/>
    <s v="SAVE10"/>
    <x v="1"/>
    <n v="987.64"/>
  </r>
  <r>
    <s v="ORD201005"/>
    <x v="521"/>
    <s v="C38065"/>
    <x v="4"/>
    <n v="3"/>
    <n v="392.85"/>
    <s v="426 Main St"/>
    <x v="2"/>
    <x v="2"/>
    <s v="TRK11448295"/>
    <n v="6"/>
    <s v="NO COUPON CODE"/>
    <x v="4"/>
    <n v="1178.55"/>
  </r>
  <r>
    <s v="ORD201006"/>
    <x v="582"/>
    <s v="C27435"/>
    <x v="2"/>
    <n v="5"/>
    <n v="420.98"/>
    <s v="860 Main St"/>
    <x v="4"/>
    <x v="3"/>
    <s v="TRK91458233"/>
    <n v="7"/>
    <s v="SAVE10"/>
    <x v="3"/>
    <n v="2104.9"/>
  </r>
  <r>
    <s v="ORD201007"/>
    <x v="591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x v="62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x v="621"/>
    <s v="C54494"/>
    <x v="2"/>
    <n v="2"/>
    <n v="176.46"/>
    <s v="696 Main St"/>
    <x v="2"/>
    <x v="3"/>
    <s v="TRK95958645"/>
    <n v="2"/>
    <s v="FREESHIP"/>
    <x v="2"/>
    <n v="352.92"/>
  </r>
  <r>
    <s v="ORD201010"/>
    <x v="622"/>
    <s v="C33729"/>
    <x v="0"/>
    <n v="3"/>
    <n v="659.57"/>
    <s v="533 Main St"/>
    <x v="2"/>
    <x v="1"/>
    <s v="TRK35649833"/>
    <n v="6"/>
    <s v="SAVE10"/>
    <x v="2"/>
    <n v="1978.71"/>
  </r>
  <r>
    <s v="ORD201011"/>
    <x v="623"/>
    <s v="C47823"/>
    <x v="1"/>
    <n v="2"/>
    <n v="478.36"/>
    <s v="654 Main St"/>
    <x v="1"/>
    <x v="0"/>
    <s v="TRK22271097"/>
    <n v="3"/>
    <s v="NO COUPON CODE"/>
    <x v="4"/>
    <n v="956.72"/>
  </r>
  <r>
    <s v="ORD201012"/>
    <x v="623"/>
    <s v="C84570"/>
    <x v="4"/>
    <n v="4"/>
    <n v="30.05"/>
    <s v="301 Main St"/>
    <x v="1"/>
    <x v="2"/>
    <s v="TRK12551882"/>
    <n v="6"/>
    <s v="NO COUPON CODE"/>
    <x v="3"/>
    <n v="120.2"/>
  </r>
  <r>
    <s v="ORD201013"/>
    <x v="624"/>
    <s v="C91123"/>
    <x v="5"/>
    <n v="4"/>
    <n v="300.56"/>
    <s v="842 Main St"/>
    <x v="4"/>
    <x v="1"/>
    <s v="TRK49568409"/>
    <n v="9"/>
    <s v="FREESHIP"/>
    <x v="3"/>
    <n v="1202.24"/>
  </r>
  <r>
    <s v="ORD201014"/>
    <x v="389"/>
    <s v="C92548"/>
    <x v="2"/>
    <n v="5"/>
    <n v="226.45"/>
    <s v="160 Main St"/>
    <x v="0"/>
    <x v="2"/>
    <s v="TRK21682892"/>
    <n v="6"/>
    <s v="FREESHIP"/>
    <x v="2"/>
    <n v="1132.25"/>
  </r>
  <r>
    <s v="ORD201015"/>
    <x v="547"/>
    <s v="C97454"/>
    <x v="4"/>
    <n v="2"/>
    <n v="349.4"/>
    <s v="892 Main St"/>
    <x v="1"/>
    <x v="0"/>
    <s v="TRK73249329"/>
    <n v="2"/>
    <s v="SAVE10"/>
    <x v="0"/>
    <n v="698.8"/>
  </r>
  <r>
    <s v="ORD201016"/>
    <x v="1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x v="625"/>
    <s v="C51694"/>
    <x v="3"/>
    <n v="2"/>
    <n v="680.85"/>
    <s v="953 Main St"/>
    <x v="3"/>
    <x v="3"/>
    <s v="TRK83122112"/>
    <n v="6"/>
    <s v="FREESHIP"/>
    <x v="1"/>
    <n v="1361.7"/>
  </r>
  <r>
    <s v="ORD201018"/>
    <x v="307"/>
    <s v="C77499"/>
    <x v="5"/>
    <n v="3"/>
    <n v="182.48"/>
    <s v="209 Main St"/>
    <x v="4"/>
    <x v="3"/>
    <s v="TRK20703086"/>
    <n v="3"/>
    <s v="NO COUPON CODE"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x v="181"/>
    <s v="C50211"/>
    <x v="2"/>
    <n v="2"/>
    <n v="26.5"/>
    <s v="312 Main St"/>
    <x v="1"/>
    <x v="3"/>
    <s v="TRK47787981"/>
    <n v="3"/>
    <s v="SAVE10"/>
    <x v="0"/>
    <n v="53"/>
  </r>
  <r>
    <s v="ORD201021"/>
    <x v="5"/>
    <s v="C74519"/>
    <x v="1"/>
    <n v="3"/>
    <n v="315.27"/>
    <s v="309 Main St"/>
    <x v="2"/>
    <x v="1"/>
    <s v="TRK97351945"/>
    <n v="4"/>
    <s v="SAVE10"/>
    <x v="2"/>
    <n v="945.81"/>
  </r>
  <r>
    <s v="ORD201022"/>
    <x v="522"/>
    <s v="C19071"/>
    <x v="2"/>
    <n v="3"/>
    <n v="450.98"/>
    <s v="396 Main St"/>
    <x v="2"/>
    <x v="0"/>
    <s v="TRK66537096"/>
    <n v="8"/>
    <s v="SAVE10"/>
    <x v="1"/>
    <n v="1352.94"/>
  </r>
  <r>
    <s v="ORD201023"/>
    <x v="296"/>
    <s v="C65251"/>
    <x v="5"/>
    <n v="5"/>
    <n v="233.67"/>
    <s v="291 Main St"/>
    <x v="4"/>
    <x v="0"/>
    <s v="TRK32059025"/>
    <n v="10"/>
    <s v="NO COUPON CODE"/>
    <x v="1"/>
    <n v="1168.3499999999999"/>
  </r>
  <r>
    <s v="ORD201024"/>
    <x v="412"/>
    <s v="C90612"/>
    <x v="3"/>
    <n v="3"/>
    <n v="367.75"/>
    <s v="731 Main St"/>
    <x v="4"/>
    <x v="4"/>
    <s v="TRK93022878"/>
    <n v="7"/>
    <s v="FREESHIP"/>
    <x v="3"/>
    <n v="1103.25"/>
  </r>
  <r>
    <s v="ORD201025"/>
    <x v="271"/>
    <s v="C28406"/>
    <x v="3"/>
    <n v="1"/>
    <n v="23.53"/>
    <s v="174 Main St"/>
    <x v="3"/>
    <x v="3"/>
    <s v="TRK98841457"/>
    <n v="2"/>
    <s v="FREESHIP"/>
    <x v="0"/>
    <n v="23.53"/>
  </r>
  <r>
    <s v="ORD201026"/>
    <x v="31"/>
    <s v="C55454"/>
    <x v="0"/>
    <n v="1"/>
    <n v="677.48"/>
    <s v="807 Main St"/>
    <x v="1"/>
    <x v="3"/>
    <s v="TRK13281370"/>
    <n v="1"/>
    <s v="WINTER15"/>
    <x v="3"/>
    <n v="677.48"/>
  </r>
  <r>
    <s v="ORD201027"/>
    <x v="626"/>
    <s v="C93467"/>
    <x v="5"/>
    <n v="4"/>
    <n v="554.83000000000004"/>
    <s v="983 Main St"/>
    <x v="4"/>
    <x v="2"/>
    <s v="TRK77377373"/>
    <n v="6"/>
    <s v="NO COUPON CODE"/>
    <x v="4"/>
    <n v="2219.3200000000002"/>
  </r>
  <r>
    <s v="ORD201028"/>
    <x v="96"/>
    <s v="C60042"/>
    <x v="6"/>
    <n v="4"/>
    <n v="440.31"/>
    <s v="610 Main St"/>
    <x v="4"/>
    <x v="1"/>
    <s v="TRK84651559"/>
    <n v="6"/>
    <s v="NO COUPON CODE"/>
    <x v="0"/>
    <n v="1761.24"/>
  </r>
  <r>
    <s v="ORD201029"/>
    <x v="627"/>
    <s v="C44733"/>
    <x v="6"/>
    <n v="1"/>
    <n v="87.06"/>
    <s v="851 Main St"/>
    <x v="2"/>
    <x v="0"/>
    <s v="TRK41500198"/>
    <n v="4"/>
    <s v="FREESHIP"/>
    <x v="2"/>
    <n v="87.06"/>
  </r>
  <r>
    <s v="ORD201030"/>
    <x v="276"/>
    <s v="C61773"/>
    <x v="1"/>
    <n v="4"/>
    <n v="245.28"/>
    <s v="176 Main St"/>
    <x v="2"/>
    <x v="3"/>
    <s v="TRK12936357"/>
    <n v="6"/>
    <s v="WINTER15"/>
    <x v="2"/>
    <n v="981.12"/>
  </r>
  <r>
    <s v="ORD201031"/>
    <x v="285"/>
    <s v="C59183"/>
    <x v="1"/>
    <n v="5"/>
    <n v="664.51"/>
    <s v="136 Main St"/>
    <x v="0"/>
    <x v="4"/>
    <s v="TRK18129706"/>
    <n v="8"/>
    <s v="SAVE10"/>
    <x v="2"/>
    <n v="3322.55"/>
  </r>
  <r>
    <s v="ORD201032"/>
    <x v="197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x v="628"/>
    <s v="C20338"/>
    <x v="0"/>
    <n v="1"/>
    <n v="370.85"/>
    <s v="331 Main St"/>
    <x v="3"/>
    <x v="3"/>
    <s v="TRK30654048"/>
    <n v="2"/>
    <s v="FREESHIP"/>
    <x v="1"/>
    <n v="370.85"/>
  </r>
  <r>
    <s v="ORD201034"/>
    <x v="452"/>
    <s v="C84524"/>
    <x v="4"/>
    <n v="4"/>
    <n v="517.98"/>
    <s v="766 Main St"/>
    <x v="4"/>
    <x v="1"/>
    <s v="TRK76751888"/>
    <n v="8"/>
    <s v="FREESHIP"/>
    <x v="3"/>
    <n v="2071.92"/>
  </r>
  <r>
    <s v="ORD201035"/>
    <x v="629"/>
    <s v="C70315"/>
    <x v="5"/>
    <n v="4"/>
    <n v="506.11"/>
    <s v="911 Main St"/>
    <x v="4"/>
    <x v="1"/>
    <s v="TRK97732085"/>
    <n v="5"/>
    <s v="NO COUPON CODE"/>
    <x v="1"/>
    <n v="2024.44"/>
  </r>
  <r>
    <s v="ORD201036"/>
    <x v="583"/>
    <s v="C98278"/>
    <x v="1"/>
    <n v="3"/>
    <n v="413.83"/>
    <s v="552 Main St"/>
    <x v="3"/>
    <x v="0"/>
    <s v="TRK49684737"/>
    <n v="8"/>
    <s v="SAVE10"/>
    <x v="3"/>
    <n v="1241.49"/>
  </r>
  <r>
    <s v="ORD201037"/>
    <x v="141"/>
    <s v="C32347"/>
    <x v="4"/>
    <n v="1"/>
    <n v="249.81"/>
    <s v="408 Main St"/>
    <x v="4"/>
    <x v="4"/>
    <s v="TRK54073964"/>
    <n v="1"/>
    <s v="SAVE10"/>
    <x v="4"/>
    <n v="249.81"/>
  </r>
  <r>
    <s v="ORD201038"/>
    <x v="175"/>
    <s v="C77961"/>
    <x v="2"/>
    <n v="3"/>
    <n v="362.53"/>
    <s v="422 Main St"/>
    <x v="0"/>
    <x v="2"/>
    <s v="TRK28969024"/>
    <n v="5"/>
    <s v="NO COUPON CODE"/>
    <x v="3"/>
    <n v="1087.5899999999999"/>
  </r>
  <r>
    <s v="ORD201039"/>
    <x v="164"/>
    <s v="C49137"/>
    <x v="6"/>
    <n v="2"/>
    <n v="299.23"/>
    <s v="177 Main St"/>
    <x v="2"/>
    <x v="1"/>
    <s v="TRK79362428"/>
    <n v="2"/>
    <s v="WINTER15"/>
    <x v="0"/>
    <n v="598.46"/>
  </r>
  <r>
    <s v="ORD201040"/>
    <x v="375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x v="91"/>
    <s v="C21167"/>
    <x v="0"/>
    <n v="4"/>
    <n v="558.9"/>
    <s v="948 Main St"/>
    <x v="3"/>
    <x v="0"/>
    <s v="TRK97737564"/>
    <n v="9"/>
    <s v="WINTER15"/>
    <x v="4"/>
    <n v="2235.6"/>
  </r>
  <r>
    <s v="ORD201042"/>
    <x v="65"/>
    <s v="C59724"/>
    <x v="2"/>
    <n v="2"/>
    <n v="409.75"/>
    <s v="414 Main St"/>
    <x v="0"/>
    <x v="0"/>
    <s v="TRK67878272"/>
    <n v="2"/>
    <s v="WINTER15"/>
    <x v="3"/>
    <n v="819.5"/>
  </r>
  <r>
    <s v="ORD201043"/>
    <x v="630"/>
    <s v="C43965"/>
    <x v="2"/>
    <n v="2"/>
    <n v="179.96"/>
    <s v="675 Main St"/>
    <x v="3"/>
    <x v="0"/>
    <s v="TRK94346739"/>
    <n v="5"/>
    <s v="NO COUPON CODE"/>
    <x v="0"/>
    <n v="359.92"/>
  </r>
  <r>
    <s v="ORD201044"/>
    <x v="450"/>
    <s v="C63018"/>
    <x v="4"/>
    <n v="1"/>
    <n v="38.49"/>
    <s v="215 Main St"/>
    <x v="2"/>
    <x v="3"/>
    <s v="TRK52335337"/>
    <n v="4"/>
    <s v="FREESHIP"/>
    <x v="1"/>
    <n v="38.49"/>
  </r>
  <r>
    <s v="ORD201045"/>
    <x v="28"/>
    <s v="C11893"/>
    <x v="5"/>
    <n v="5"/>
    <n v="316.39999999999998"/>
    <s v="671 Main St"/>
    <x v="3"/>
    <x v="2"/>
    <s v="TRK72012758"/>
    <n v="7"/>
    <s v="NO COUPON CODE"/>
    <x v="2"/>
    <n v="1582"/>
  </r>
  <r>
    <s v="ORD201046"/>
    <x v="550"/>
    <s v="C85421"/>
    <x v="2"/>
    <n v="3"/>
    <n v="547.15"/>
    <s v="466 Main St"/>
    <x v="1"/>
    <x v="0"/>
    <s v="TRK16524006"/>
    <n v="4"/>
    <s v="WINTER15"/>
    <x v="0"/>
    <n v="1641.45"/>
  </r>
  <r>
    <s v="ORD201047"/>
    <x v="467"/>
    <s v="C81726"/>
    <x v="3"/>
    <n v="4"/>
    <n v="540.34"/>
    <s v="394 Main St"/>
    <x v="3"/>
    <x v="0"/>
    <s v="TRK69872994"/>
    <n v="6"/>
    <s v="WINTER15"/>
    <x v="1"/>
    <n v="2161.36"/>
  </r>
  <r>
    <s v="ORD201048"/>
    <x v="82"/>
    <s v="C57601"/>
    <x v="0"/>
    <n v="4"/>
    <n v="73.650000000000006"/>
    <s v="889 Main St"/>
    <x v="0"/>
    <x v="0"/>
    <s v="TRK21153699"/>
    <n v="9"/>
    <s v="NO COUPON CODE"/>
    <x v="4"/>
    <n v="294.60000000000002"/>
  </r>
  <r>
    <s v="ORD201049"/>
    <x v="408"/>
    <s v="C60575"/>
    <x v="6"/>
    <n v="5"/>
    <n v="391.86"/>
    <s v="587 Main St"/>
    <x v="2"/>
    <x v="0"/>
    <s v="TRK44468232"/>
    <n v="6"/>
    <s v="NO COUPON CODE"/>
    <x v="0"/>
    <n v="1959.3"/>
  </r>
  <r>
    <s v="ORD201050"/>
    <x v="38"/>
    <s v="C70659"/>
    <x v="5"/>
    <n v="5"/>
    <n v="69.7"/>
    <s v="722 Main St"/>
    <x v="1"/>
    <x v="2"/>
    <s v="TRK49663597"/>
    <n v="9"/>
    <s v="NO COUPON CODE"/>
    <x v="0"/>
    <n v="348.5"/>
  </r>
  <r>
    <s v="ORD201051"/>
    <x v="376"/>
    <s v="C35043"/>
    <x v="0"/>
    <n v="5"/>
    <n v="26.43"/>
    <s v="820 Main St"/>
    <x v="3"/>
    <x v="0"/>
    <s v="TRK65097450"/>
    <n v="5"/>
    <s v="FREESHIP"/>
    <x v="3"/>
    <n v="132.15"/>
  </r>
  <r>
    <s v="ORD201052"/>
    <x v="631"/>
    <s v="C12301"/>
    <x v="2"/>
    <n v="1"/>
    <n v="531.74"/>
    <s v="493 Main St"/>
    <x v="1"/>
    <x v="0"/>
    <s v="TRK25145796"/>
    <n v="1"/>
    <s v="WINTER15"/>
    <x v="4"/>
    <n v="531.74"/>
  </r>
  <r>
    <s v="ORD201053"/>
    <x v="632"/>
    <s v="C32798"/>
    <x v="1"/>
    <n v="2"/>
    <n v="496.62"/>
    <s v="679 Main St"/>
    <x v="1"/>
    <x v="4"/>
    <s v="TRK37375451"/>
    <n v="2"/>
    <s v="SAVE10"/>
    <x v="0"/>
    <n v="993.24"/>
  </r>
  <r>
    <s v="ORD201054"/>
    <x v="633"/>
    <s v="C42949"/>
    <x v="4"/>
    <n v="1"/>
    <n v="660.66"/>
    <s v="447 Main St"/>
    <x v="0"/>
    <x v="3"/>
    <s v="TRK46415143"/>
    <n v="3"/>
    <s v="WINTER15"/>
    <x v="0"/>
    <n v="660.66"/>
  </r>
  <r>
    <s v="ORD201055"/>
    <x v="5"/>
    <s v="C10787"/>
    <x v="0"/>
    <n v="4"/>
    <n v="274.82"/>
    <s v="932 Main St"/>
    <x v="0"/>
    <x v="3"/>
    <s v="TRK91512567"/>
    <n v="9"/>
    <s v="WINTER15"/>
    <x v="2"/>
    <n v="1099.28"/>
  </r>
  <r>
    <s v="ORD201056"/>
    <x v="280"/>
    <s v="C26152"/>
    <x v="1"/>
    <n v="2"/>
    <n v="486.35"/>
    <s v="790 Main St"/>
    <x v="1"/>
    <x v="4"/>
    <s v="TRK49382455"/>
    <n v="6"/>
    <s v="SAVE10"/>
    <x v="1"/>
    <n v="972.7"/>
  </r>
  <r>
    <s v="ORD201057"/>
    <x v="634"/>
    <s v="C46210"/>
    <x v="5"/>
    <n v="3"/>
    <n v="428.88"/>
    <s v="535 Main St"/>
    <x v="0"/>
    <x v="0"/>
    <s v="TRK81611937"/>
    <n v="3"/>
    <s v="WINTER15"/>
    <x v="3"/>
    <n v="1286.6400000000001"/>
  </r>
  <r>
    <s v="ORD201058"/>
    <x v="102"/>
    <s v="C32943"/>
    <x v="6"/>
    <n v="2"/>
    <n v="412.14"/>
    <s v="127 Main St"/>
    <x v="2"/>
    <x v="2"/>
    <s v="TRK26949106"/>
    <n v="2"/>
    <s v="FREESHIP"/>
    <x v="0"/>
    <n v="824.28"/>
  </r>
  <r>
    <s v="ORD201059"/>
    <x v="491"/>
    <s v="C73629"/>
    <x v="6"/>
    <n v="1"/>
    <n v="265.64"/>
    <s v="601 Main St"/>
    <x v="2"/>
    <x v="2"/>
    <s v="TRK11492924"/>
    <n v="3"/>
    <s v="WINTER15"/>
    <x v="0"/>
    <n v="265.64"/>
  </r>
  <r>
    <s v="ORD201060"/>
    <x v="635"/>
    <s v="C38024"/>
    <x v="2"/>
    <n v="2"/>
    <n v="273.43"/>
    <s v="824 Main St"/>
    <x v="4"/>
    <x v="0"/>
    <s v="TRK93370912"/>
    <n v="7"/>
    <s v="WINTER15"/>
    <x v="1"/>
    <n v="546.86"/>
  </r>
  <r>
    <s v="ORD201061"/>
    <x v="636"/>
    <s v="C25445"/>
    <x v="5"/>
    <n v="5"/>
    <n v="131.69999999999999"/>
    <s v="830 Main St"/>
    <x v="4"/>
    <x v="0"/>
    <s v="TRK12402431"/>
    <n v="8"/>
    <s v="FREESHIP"/>
    <x v="4"/>
    <n v="658.5"/>
  </r>
  <r>
    <s v="ORD201062"/>
    <x v="421"/>
    <s v="C13501"/>
    <x v="3"/>
    <n v="5"/>
    <n v="85.52"/>
    <s v="301 Main St"/>
    <x v="3"/>
    <x v="1"/>
    <s v="TRK65149372"/>
    <n v="5"/>
    <s v="NO COUPON CODE"/>
    <x v="3"/>
    <n v="427.6"/>
  </r>
  <r>
    <s v="ORD201063"/>
    <x v="83"/>
    <s v="C42108"/>
    <x v="6"/>
    <n v="2"/>
    <n v="320.68"/>
    <s v="336 Main St"/>
    <x v="2"/>
    <x v="0"/>
    <s v="TRK58407918"/>
    <n v="5"/>
    <s v="FREESHIP"/>
    <x v="1"/>
    <n v="641.36"/>
  </r>
  <r>
    <s v="ORD201064"/>
    <x v="637"/>
    <s v="C32121"/>
    <x v="5"/>
    <n v="4"/>
    <n v="198.81"/>
    <s v="654 Main St"/>
    <x v="4"/>
    <x v="2"/>
    <s v="TRK96074264"/>
    <n v="9"/>
    <s v="FREESHIP"/>
    <x v="1"/>
    <n v="795.24"/>
  </r>
  <r>
    <s v="ORD201065"/>
    <x v="638"/>
    <s v="C47778"/>
    <x v="4"/>
    <n v="5"/>
    <n v="666.8"/>
    <s v="488 Main St"/>
    <x v="0"/>
    <x v="3"/>
    <s v="TRK79504329"/>
    <n v="7"/>
    <s v="SAVE10"/>
    <x v="1"/>
    <n v="3334"/>
  </r>
  <r>
    <s v="ORD201066"/>
    <x v="639"/>
    <s v="C10791"/>
    <x v="6"/>
    <n v="1"/>
    <n v="355.09"/>
    <s v="674 Main St"/>
    <x v="0"/>
    <x v="1"/>
    <s v="TRK20321248"/>
    <n v="5"/>
    <s v="SAVE10"/>
    <x v="0"/>
    <n v="355.09"/>
  </r>
  <r>
    <s v="ORD201067"/>
    <x v="640"/>
    <s v="C78959"/>
    <x v="1"/>
    <n v="2"/>
    <n v="316.2"/>
    <s v="384 Main St"/>
    <x v="1"/>
    <x v="2"/>
    <s v="TRK37426359"/>
    <n v="2"/>
    <s v="NO COUPON CODE"/>
    <x v="0"/>
    <n v="632.4"/>
  </r>
  <r>
    <s v="ORD201068"/>
    <x v="24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x v="641"/>
    <s v="C70506"/>
    <x v="0"/>
    <n v="1"/>
    <n v="454.23"/>
    <s v="255 Main St"/>
    <x v="3"/>
    <x v="2"/>
    <s v="TRK12518384"/>
    <n v="3"/>
    <s v="NO COUPON CODE"/>
    <x v="3"/>
    <n v="454.23"/>
  </r>
  <r>
    <s v="ORD201070"/>
    <x v="605"/>
    <s v="C46873"/>
    <x v="6"/>
    <n v="4"/>
    <n v="491.29"/>
    <s v="496 Main St"/>
    <x v="0"/>
    <x v="4"/>
    <s v="TRK10926575"/>
    <n v="6"/>
    <s v="NO COUPON CODE"/>
    <x v="2"/>
    <n v="1965.16"/>
  </r>
  <r>
    <s v="ORD201071"/>
    <x v="53"/>
    <s v="C94037"/>
    <x v="1"/>
    <n v="2"/>
    <n v="255.14"/>
    <s v="216 Main St"/>
    <x v="4"/>
    <x v="0"/>
    <s v="TRK47536985"/>
    <n v="2"/>
    <s v="NO COUPON CODE"/>
    <x v="4"/>
    <n v="510.28"/>
  </r>
  <r>
    <s v="ORD201072"/>
    <x v="297"/>
    <s v="C88644"/>
    <x v="0"/>
    <n v="1"/>
    <n v="392.61"/>
    <s v="977 Main St"/>
    <x v="3"/>
    <x v="1"/>
    <s v="TRK14900878"/>
    <n v="4"/>
    <s v="SAVE10"/>
    <x v="1"/>
    <n v="392.61"/>
  </r>
  <r>
    <s v="ORD201073"/>
    <x v="642"/>
    <s v="C69471"/>
    <x v="2"/>
    <n v="4"/>
    <n v="362.06"/>
    <s v="294 Main St"/>
    <x v="0"/>
    <x v="2"/>
    <s v="TRK11107152"/>
    <n v="4"/>
    <s v="NO COUPON CODE"/>
    <x v="3"/>
    <n v="1448.24"/>
  </r>
  <r>
    <s v="ORD201074"/>
    <x v="451"/>
    <s v="C21437"/>
    <x v="1"/>
    <n v="1"/>
    <n v="222.73"/>
    <s v="120 Main St"/>
    <x v="1"/>
    <x v="2"/>
    <s v="TRK81624772"/>
    <n v="4"/>
    <s v="NO COUPON CODE"/>
    <x v="4"/>
    <n v="222.73"/>
  </r>
  <r>
    <s v="ORD201075"/>
    <x v="169"/>
    <s v="C40949"/>
    <x v="0"/>
    <n v="2"/>
    <n v="552.63"/>
    <s v="609 Main St"/>
    <x v="0"/>
    <x v="3"/>
    <s v="TRK43066749"/>
    <n v="7"/>
    <s v="WINTER15"/>
    <x v="0"/>
    <n v="1105.26"/>
  </r>
  <r>
    <s v="ORD201076"/>
    <x v="20"/>
    <s v="C99116"/>
    <x v="5"/>
    <n v="4"/>
    <n v="686.61"/>
    <s v="176 Main St"/>
    <x v="4"/>
    <x v="0"/>
    <s v="TRK52711973"/>
    <n v="6"/>
    <s v="NO COUPON CODE"/>
    <x v="1"/>
    <n v="2746.44"/>
  </r>
  <r>
    <s v="ORD201077"/>
    <x v="456"/>
    <s v="C57861"/>
    <x v="4"/>
    <n v="3"/>
    <n v="305.16000000000003"/>
    <s v="115 Main St"/>
    <x v="2"/>
    <x v="1"/>
    <s v="TRK47775217"/>
    <n v="8"/>
    <s v="SAVE10"/>
    <x v="1"/>
    <n v="915.48"/>
  </r>
  <r>
    <s v="ORD201078"/>
    <x v="168"/>
    <s v="C62627"/>
    <x v="6"/>
    <n v="1"/>
    <n v="41.09"/>
    <s v="881 Main St"/>
    <x v="1"/>
    <x v="2"/>
    <s v="TRK90060232"/>
    <n v="4"/>
    <s v="WINTER15"/>
    <x v="2"/>
    <n v="41.09"/>
  </r>
  <r>
    <s v="ORD201079"/>
    <x v="643"/>
    <s v="C89979"/>
    <x v="1"/>
    <n v="5"/>
    <n v="634"/>
    <s v="144 Main St"/>
    <x v="3"/>
    <x v="3"/>
    <s v="TRK99055909"/>
    <n v="8"/>
    <s v="NO COUPON CODE"/>
    <x v="2"/>
    <n v="3170"/>
  </r>
  <r>
    <s v="ORD201080"/>
    <x v="325"/>
    <s v="C70613"/>
    <x v="5"/>
    <n v="5"/>
    <n v="464.74"/>
    <s v="438 Main St"/>
    <x v="3"/>
    <x v="3"/>
    <s v="TRK33140293"/>
    <n v="7"/>
    <s v="NO COUPON CODE"/>
    <x v="1"/>
    <n v="2323.6999999999998"/>
  </r>
  <r>
    <s v="ORD201081"/>
    <x v="453"/>
    <s v="C55636"/>
    <x v="0"/>
    <n v="4"/>
    <n v="425.6"/>
    <s v="494 Main St"/>
    <x v="2"/>
    <x v="4"/>
    <s v="TRK85897054"/>
    <n v="5"/>
    <s v="FREESHIP"/>
    <x v="4"/>
    <n v="1702.4"/>
  </r>
  <r>
    <s v="ORD201082"/>
    <x v="426"/>
    <s v="C96595"/>
    <x v="3"/>
    <n v="3"/>
    <n v="573.22"/>
    <s v="177 Main St"/>
    <x v="0"/>
    <x v="4"/>
    <s v="TRK59779174"/>
    <n v="5"/>
    <s v="SAVE10"/>
    <x v="2"/>
    <n v="1719.66"/>
  </r>
  <r>
    <s v="ORD201083"/>
    <x v="644"/>
    <s v="C68508"/>
    <x v="3"/>
    <n v="1"/>
    <n v="123.28"/>
    <s v="895 Main St"/>
    <x v="2"/>
    <x v="3"/>
    <s v="TRK98960285"/>
    <n v="3"/>
    <s v="SAVE10"/>
    <x v="2"/>
    <n v="123.28"/>
  </r>
  <r>
    <s v="ORD201084"/>
    <x v="124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x v="411"/>
    <s v="C84134"/>
    <x v="5"/>
    <n v="4"/>
    <n v="693.07"/>
    <s v="530 Main St"/>
    <x v="1"/>
    <x v="0"/>
    <s v="TRK48659380"/>
    <n v="8"/>
    <s v="SAVE10"/>
    <x v="0"/>
    <n v="2772.28"/>
  </r>
  <r>
    <s v="ORD201088"/>
    <x v="115"/>
    <s v="C49831"/>
    <x v="6"/>
    <n v="3"/>
    <n v="491.43"/>
    <s v="213 Main St"/>
    <x v="3"/>
    <x v="0"/>
    <s v="TRK21232601"/>
    <n v="6"/>
    <s v="WINTER15"/>
    <x v="0"/>
    <n v="1474.29"/>
  </r>
  <r>
    <s v="ORD201089"/>
    <x v="175"/>
    <s v="C13324"/>
    <x v="2"/>
    <n v="2"/>
    <n v="599.74"/>
    <s v="440 Main St"/>
    <x v="3"/>
    <x v="0"/>
    <s v="TRK66967997"/>
    <n v="2"/>
    <s v="NO COUPON CODE"/>
    <x v="0"/>
    <n v="1199.48"/>
  </r>
  <r>
    <s v="ORD201090"/>
    <x v="641"/>
    <s v="C61225"/>
    <x v="0"/>
    <n v="2"/>
    <n v="650.25"/>
    <s v="996 Main St"/>
    <x v="3"/>
    <x v="2"/>
    <s v="TRK37022954"/>
    <n v="6"/>
    <s v="NO COUPON CODE"/>
    <x v="0"/>
    <n v="1300.5"/>
  </r>
  <r>
    <s v="ORD201091"/>
    <x v="192"/>
    <s v="C16400"/>
    <x v="5"/>
    <n v="3"/>
    <n v="209.48"/>
    <s v="123 Main St"/>
    <x v="0"/>
    <x v="4"/>
    <s v="TRK57771859"/>
    <n v="4"/>
    <s v="NO COUPON CODE"/>
    <x v="2"/>
    <n v="628.43999999999994"/>
  </r>
  <r>
    <s v="ORD201092"/>
    <x v="531"/>
    <s v="C38642"/>
    <x v="5"/>
    <n v="5"/>
    <n v="209.2"/>
    <s v="930 Main St"/>
    <x v="0"/>
    <x v="3"/>
    <s v="TRK47744396"/>
    <n v="6"/>
    <s v="WINTER15"/>
    <x v="2"/>
    <n v="1046"/>
  </r>
  <r>
    <s v="ORD201093"/>
    <x v="308"/>
    <s v="C86773"/>
    <x v="1"/>
    <n v="4"/>
    <n v="197.36"/>
    <s v="557 Main St"/>
    <x v="3"/>
    <x v="2"/>
    <s v="TRK22612240"/>
    <n v="9"/>
    <s v="FREESHIP"/>
    <x v="0"/>
    <n v="789.44"/>
  </r>
  <r>
    <s v="ORD201094"/>
    <x v="342"/>
    <s v="C66093"/>
    <x v="4"/>
    <n v="4"/>
    <n v="648.91"/>
    <s v="615 Main St"/>
    <x v="2"/>
    <x v="0"/>
    <s v="TRK54950785"/>
    <n v="6"/>
    <s v="SAVE10"/>
    <x v="0"/>
    <n v="2595.64"/>
  </r>
  <r>
    <s v="ORD201095"/>
    <x v="234"/>
    <s v="C33051"/>
    <x v="1"/>
    <n v="2"/>
    <n v="441.54"/>
    <s v="397 Main St"/>
    <x v="1"/>
    <x v="3"/>
    <s v="TRK92929755"/>
    <n v="2"/>
    <s v="SAVE10"/>
    <x v="2"/>
    <n v="883.08"/>
  </r>
  <r>
    <s v="ORD201096"/>
    <x v="120"/>
    <s v="C18169"/>
    <x v="2"/>
    <n v="2"/>
    <n v="464.92"/>
    <s v="782 Main St"/>
    <x v="0"/>
    <x v="2"/>
    <s v="TRK49482923"/>
    <n v="2"/>
    <s v="NO COUPON CODE"/>
    <x v="3"/>
    <n v="929.84"/>
  </r>
  <r>
    <s v="ORD201097"/>
    <x v="645"/>
    <s v="C81370"/>
    <x v="0"/>
    <n v="5"/>
    <n v="506.45"/>
    <s v="344 Main St"/>
    <x v="3"/>
    <x v="0"/>
    <s v="TRK99682998"/>
    <n v="7"/>
    <s v="WINTER15"/>
    <x v="4"/>
    <n v="2532.25"/>
  </r>
  <r>
    <s v="ORD201098"/>
    <x v="646"/>
    <s v="C91103"/>
    <x v="0"/>
    <n v="4"/>
    <n v="255.86"/>
    <s v="155 Main St"/>
    <x v="2"/>
    <x v="3"/>
    <s v="TRK91653000"/>
    <n v="7"/>
    <s v="NO COUPON CODE"/>
    <x v="2"/>
    <n v="1023.44"/>
  </r>
  <r>
    <s v="ORD201099"/>
    <x v="556"/>
    <s v="C21953"/>
    <x v="5"/>
    <n v="2"/>
    <n v="125.23"/>
    <s v="272 Main St"/>
    <x v="4"/>
    <x v="1"/>
    <s v="TRK60774796"/>
    <n v="3"/>
    <s v="FREESHIP"/>
    <x v="2"/>
    <n v="250.46"/>
  </r>
  <r>
    <s v="ORD201100"/>
    <x v="538"/>
    <s v="C15146"/>
    <x v="5"/>
    <n v="5"/>
    <n v="38.11"/>
    <s v="428 Main St"/>
    <x v="0"/>
    <x v="1"/>
    <s v="TRK79790530"/>
    <n v="6"/>
    <s v="WINTER15"/>
    <x v="0"/>
    <n v="190.55"/>
  </r>
  <r>
    <s v="ORD201101"/>
    <x v="647"/>
    <s v="C43546"/>
    <x v="0"/>
    <n v="3"/>
    <n v="161.97"/>
    <s v="904 Main St"/>
    <x v="4"/>
    <x v="4"/>
    <s v="TRK85871121"/>
    <n v="4"/>
    <s v="SAVE10"/>
    <x v="2"/>
    <n v="485.91"/>
  </r>
  <r>
    <s v="ORD201102"/>
    <x v="561"/>
    <s v="C98474"/>
    <x v="3"/>
    <n v="4"/>
    <n v="347.17"/>
    <s v="997 Main St"/>
    <x v="0"/>
    <x v="0"/>
    <s v="TRK86192984"/>
    <n v="8"/>
    <s v="NO COUPON CODE"/>
    <x v="0"/>
    <n v="1388.68"/>
  </r>
  <r>
    <s v="ORD201103"/>
    <x v="648"/>
    <s v="C90292"/>
    <x v="5"/>
    <n v="4"/>
    <n v="276.32"/>
    <s v="129 Main St"/>
    <x v="1"/>
    <x v="3"/>
    <s v="TRK26270357"/>
    <n v="5"/>
    <s v="NO COUPON CODE"/>
    <x v="4"/>
    <n v="1105.28"/>
  </r>
  <r>
    <s v="ORD201104"/>
    <x v="568"/>
    <s v="C17075"/>
    <x v="2"/>
    <n v="4"/>
    <n v="314.76"/>
    <s v="850 Main St"/>
    <x v="1"/>
    <x v="0"/>
    <s v="TRK63547510"/>
    <n v="8"/>
    <s v="NO COUPON CODE"/>
    <x v="0"/>
    <n v="1259.04"/>
  </r>
  <r>
    <s v="ORD201105"/>
    <x v="649"/>
    <s v="C12487"/>
    <x v="2"/>
    <n v="3"/>
    <n v="475.69"/>
    <s v="884 Main St"/>
    <x v="3"/>
    <x v="1"/>
    <s v="TRK23324770"/>
    <n v="3"/>
    <s v="FREESHIP"/>
    <x v="4"/>
    <n v="1427.07"/>
  </r>
  <r>
    <s v="ORD201106"/>
    <x v="255"/>
    <s v="C34555"/>
    <x v="3"/>
    <n v="1"/>
    <n v="372.8"/>
    <s v="903 Main St"/>
    <x v="4"/>
    <x v="1"/>
    <s v="TRK72859458"/>
    <n v="6"/>
    <s v="SAVE10"/>
    <x v="3"/>
    <n v="372.8"/>
  </r>
  <r>
    <s v="ORD201107"/>
    <x v="233"/>
    <s v="C25110"/>
    <x v="2"/>
    <n v="2"/>
    <n v="63.21"/>
    <s v="282 Main St"/>
    <x v="1"/>
    <x v="1"/>
    <s v="TRK80963328"/>
    <n v="4"/>
    <s v="SAVE10"/>
    <x v="4"/>
    <n v="126.42"/>
  </r>
  <r>
    <s v="ORD201108"/>
    <x v="65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x v="651"/>
    <s v="C62277"/>
    <x v="4"/>
    <n v="4"/>
    <n v="77.47"/>
    <s v="474 Main St"/>
    <x v="3"/>
    <x v="2"/>
    <s v="TRK32026174"/>
    <n v="7"/>
    <s v="SAVE10"/>
    <x v="0"/>
    <n v="309.88"/>
  </r>
  <r>
    <s v="ORD201110"/>
    <x v="402"/>
    <s v="C12472"/>
    <x v="3"/>
    <n v="3"/>
    <n v="84.31"/>
    <s v="912 Main St"/>
    <x v="2"/>
    <x v="0"/>
    <s v="TRK36103184"/>
    <n v="3"/>
    <s v="SAVE10"/>
    <x v="2"/>
    <n v="252.93"/>
  </r>
  <r>
    <s v="ORD201111"/>
    <x v="306"/>
    <s v="C24047"/>
    <x v="0"/>
    <n v="4"/>
    <n v="234.45"/>
    <s v="362 Main St"/>
    <x v="1"/>
    <x v="1"/>
    <s v="TRK91338580"/>
    <n v="9"/>
    <s v="FREESHIP"/>
    <x v="0"/>
    <n v="937.8"/>
  </r>
  <r>
    <s v="ORD201112"/>
    <x v="652"/>
    <s v="C76929"/>
    <x v="6"/>
    <n v="1"/>
    <n v="356.81"/>
    <s v="563 Main St"/>
    <x v="1"/>
    <x v="3"/>
    <s v="TRK80694400"/>
    <n v="1"/>
    <s v="WINTER15"/>
    <x v="0"/>
    <n v="356.81"/>
  </r>
  <r>
    <s v="ORD201113"/>
    <x v="111"/>
    <s v="C52914"/>
    <x v="6"/>
    <n v="4"/>
    <n v="209.99"/>
    <s v="168 Main St"/>
    <x v="4"/>
    <x v="3"/>
    <s v="TRK80819053"/>
    <n v="8"/>
    <s v="NO COUPON CODE"/>
    <x v="4"/>
    <n v="839.96"/>
  </r>
  <r>
    <s v="ORD201114"/>
    <x v="653"/>
    <s v="C55164"/>
    <x v="2"/>
    <n v="3"/>
    <n v="659.88"/>
    <s v="609 Main St"/>
    <x v="3"/>
    <x v="1"/>
    <s v="TRK79610967"/>
    <n v="3"/>
    <s v="NO COUPON CODE"/>
    <x v="4"/>
    <n v="1979.64"/>
  </r>
  <r>
    <s v="ORD201115"/>
    <x v="126"/>
    <s v="C70426"/>
    <x v="5"/>
    <n v="2"/>
    <n v="336.32"/>
    <s v="562 Main St"/>
    <x v="1"/>
    <x v="2"/>
    <s v="TRK89687816"/>
    <n v="3"/>
    <s v="NO COUPON CODE"/>
    <x v="4"/>
    <n v="672.64"/>
  </r>
  <r>
    <s v="ORD201116"/>
    <x v="612"/>
    <s v="C69149"/>
    <x v="4"/>
    <n v="2"/>
    <n v="531.49"/>
    <s v="562 Main St"/>
    <x v="2"/>
    <x v="3"/>
    <s v="TRK61265132"/>
    <n v="7"/>
    <s v="WINTER15"/>
    <x v="3"/>
    <n v="1062.98"/>
  </r>
  <r>
    <s v="ORD201117"/>
    <x v="199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x v="75"/>
    <s v="C58168"/>
    <x v="1"/>
    <n v="3"/>
    <n v="251.48"/>
    <s v="359 Main St"/>
    <x v="2"/>
    <x v="2"/>
    <s v="TRK99102265"/>
    <n v="4"/>
    <s v="NO COUPON CODE"/>
    <x v="2"/>
    <n v="754.43999999999994"/>
  </r>
  <r>
    <s v="ORD201119"/>
    <x v="167"/>
    <s v="C99024"/>
    <x v="5"/>
    <n v="1"/>
    <n v="684.65"/>
    <s v="250 Main St"/>
    <x v="2"/>
    <x v="3"/>
    <s v="TRK24675988"/>
    <n v="1"/>
    <s v="FREESHIP"/>
    <x v="2"/>
    <n v="684.65"/>
  </r>
  <r>
    <s v="ORD201120"/>
    <x v="400"/>
    <s v="C22919"/>
    <x v="2"/>
    <n v="1"/>
    <n v="195.86"/>
    <s v="267 Main St"/>
    <x v="1"/>
    <x v="4"/>
    <s v="TRK82416295"/>
    <n v="3"/>
    <s v="NO COUPON CODE"/>
    <x v="3"/>
    <n v="195.86"/>
  </r>
  <r>
    <s v="ORD201121"/>
    <x v="654"/>
    <s v="C98354"/>
    <x v="1"/>
    <n v="3"/>
    <n v="50.34"/>
    <s v="393 Main St"/>
    <x v="3"/>
    <x v="2"/>
    <s v="TRK43070888"/>
    <n v="3"/>
    <s v="FREESHIP"/>
    <x v="0"/>
    <n v="151.02000000000001"/>
  </r>
  <r>
    <s v="ORD201122"/>
    <x v="323"/>
    <s v="C38840"/>
    <x v="0"/>
    <n v="5"/>
    <n v="678.19"/>
    <s v="766 Main St"/>
    <x v="1"/>
    <x v="2"/>
    <s v="TRK32496970"/>
    <n v="8"/>
    <s v="NO COUPON CODE"/>
    <x v="3"/>
    <n v="3390.95"/>
  </r>
  <r>
    <s v="ORD201123"/>
    <x v="655"/>
    <s v="C68936"/>
    <x v="2"/>
    <n v="3"/>
    <n v="554.25"/>
    <s v="843 Main St"/>
    <x v="0"/>
    <x v="0"/>
    <s v="TRK73163634"/>
    <n v="6"/>
    <s v="WINTER15"/>
    <x v="1"/>
    <n v="1662.75"/>
  </r>
  <r>
    <s v="ORD201124"/>
    <x v="221"/>
    <s v="C33744"/>
    <x v="3"/>
    <n v="4"/>
    <n v="576.87"/>
    <s v="888 Main St"/>
    <x v="3"/>
    <x v="2"/>
    <s v="TRK40245983"/>
    <n v="5"/>
    <s v="NO COUPON CODE"/>
    <x v="0"/>
    <n v="2307.48"/>
  </r>
  <r>
    <s v="ORD201125"/>
    <x v="504"/>
    <s v="C23555"/>
    <x v="6"/>
    <n v="4"/>
    <n v="408.36"/>
    <s v="156 Main St"/>
    <x v="3"/>
    <x v="1"/>
    <s v="TRK67210247"/>
    <n v="4"/>
    <s v="FREESHIP"/>
    <x v="1"/>
    <n v="1633.44"/>
  </r>
  <r>
    <s v="ORD201126"/>
    <x v="319"/>
    <s v="C34337"/>
    <x v="1"/>
    <n v="5"/>
    <n v="190.11"/>
    <s v="325 Main St"/>
    <x v="4"/>
    <x v="3"/>
    <s v="TRK36195559"/>
    <n v="7"/>
    <s v="SAVE10"/>
    <x v="4"/>
    <n v="950.55000000000007"/>
  </r>
  <r>
    <s v="ORD201127"/>
    <x v="175"/>
    <s v="C69396"/>
    <x v="4"/>
    <n v="3"/>
    <n v="602.75"/>
    <s v="920 Main St"/>
    <x v="2"/>
    <x v="0"/>
    <s v="TRK33155049"/>
    <n v="6"/>
    <s v="SAVE10"/>
    <x v="2"/>
    <n v="1808.25"/>
  </r>
  <r>
    <s v="ORD201128"/>
    <x v="538"/>
    <s v="C49198"/>
    <x v="0"/>
    <n v="3"/>
    <n v="646.79"/>
    <s v="447 Main St"/>
    <x v="4"/>
    <x v="1"/>
    <s v="TRK10883354"/>
    <n v="5"/>
    <s v="WINTER15"/>
    <x v="4"/>
    <n v="1940.37"/>
  </r>
  <r>
    <s v="ORD201129"/>
    <x v="236"/>
    <s v="C43911"/>
    <x v="3"/>
    <n v="4"/>
    <n v="418.71"/>
    <s v="239 Main St"/>
    <x v="4"/>
    <x v="4"/>
    <s v="TRK37495481"/>
    <n v="8"/>
    <s v="FREESHIP"/>
    <x v="0"/>
    <n v="1674.84"/>
  </r>
  <r>
    <s v="ORD201130"/>
    <x v="656"/>
    <s v="C24347"/>
    <x v="5"/>
    <n v="2"/>
    <n v="323.45"/>
    <s v="533 Main St"/>
    <x v="2"/>
    <x v="2"/>
    <s v="TRK27233265"/>
    <n v="5"/>
    <s v="FREESHIP"/>
    <x v="0"/>
    <n v="646.9"/>
  </r>
  <r>
    <s v="ORD201131"/>
    <x v="408"/>
    <s v="C21043"/>
    <x v="1"/>
    <n v="1"/>
    <n v="694.5"/>
    <s v="195 Main St"/>
    <x v="2"/>
    <x v="4"/>
    <s v="TRK41691086"/>
    <n v="3"/>
    <s v="WINTER15"/>
    <x v="3"/>
    <n v="694.5"/>
  </r>
  <r>
    <s v="ORD201132"/>
    <x v="657"/>
    <s v="C58858"/>
    <x v="3"/>
    <n v="2"/>
    <n v="337.32"/>
    <s v="948 Main St"/>
    <x v="2"/>
    <x v="1"/>
    <s v="TRK30406357"/>
    <n v="4"/>
    <s v="SAVE10"/>
    <x v="2"/>
    <n v="674.64"/>
  </r>
  <r>
    <s v="ORD201133"/>
    <x v="398"/>
    <s v="C20670"/>
    <x v="4"/>
    <n v="2"/>
    <n v="467.91"/>
    <s v="432 Main St"/>
    <x v="3"/>
    <x v="2"/>
    <s v="TRK76731303"/>
    <n v="5"/>
    <s v="WINTER15"/>
    <x v="3"/>
    <n v="935.82"/>
  </r>
  <r>
    <s v="ORD201134"/>
    <x v="180"/>
    <s v="C90993"/>
    <x v="6"/>
    <n v="4"/>
    <n v="38.28"/>
    <s v="950 Main St"/>
    <x v="0"/>
    <x v="1"/>
    <s v="TRK53964711"/>
    <n v="4"/>
    <s v="WINTER15"/>
    <x v="3"/>
    <n v="153.12"/>
  </r>
  <r>
    <s v="ORD201135"/>
    <x v="153"/>
    <s v="C11473"/>
    <x v="4"/>
    <n v="2"/>
    <n v="73.41"/>
    <s v="562 Main St"/>
    <x v="1"/>
    <x v="0"/>
    <s v="TRK97793275"/>
    <n v="2"/>
    <s v="SAVE10"/>
    <x v="4"/>
    <n v="146.82"/>
  </r>
  <r>
    <s v="ORD201136"/>
    <x v="463"/>
    <s v="C71899"/>
    <x v="2"/>
    <n v="3"/>
    <n v="668.33"/>
    <s v="799 Main St"/>
    <x v="3"/>
    <x v="4"/>
    <s v="TRK34856025"/>
    <n v="4"/>
    <s v="WINTER15"/>
    <x v="3"/>
    <n v="2004.99"/>
  </r>
  <r>
    <s v="ORD201137"/>
    <x v="511"/>
    <s v="C48577"/>
    <x v="4"/>
    <n v="4"/>
    <n v="410.21"/>
    <s v="841 Main St"/>
    <x v="4"/>
    <x v="4"/>
    <s v="TRK59911645"/>
    <n v="5"/>
    <s v="WINTER15"/>
    <x v="0"/>
    <n v="1640.84"/>
  </r>
  <r>
    <s v="ORD201138"/>
    <x v="552"/>
    <s v="C13100"/>
    <x v="6"/>
    <n v="4"/>
    <n v="294.41000000000003"/>
    <s v="188 Main St"/>
    <x v="0"/>
    <x v="4"/>
    <s v="TRK55565668"/>
    <n v="4"/>
    <s v="NO COUPON CODE"/>
    <x v="0"/>
    <n v="1177.6400000000001"/>
  </r>
  <r>
    <s v="ORD201139"/>
    <x v="627"/>
    <s v="C70659"/>
    <x v="3"/>
    <n v="3"/>
    <n v="501.82"/>
    <s v="568 Main St"/>
    <x v="3"/>
    <x v="1"/>
    <s v="TRK28290825"/>
    <n v="4"/>
    <s v="FREESHIP"/>
    <x v="2"/>
    <n v="1505.46"/>
  </r>
  <r>
    <s v="ORD201140"/>
    <x v="658"/>
    <s v="C49838"/>
    <x v="4"/>
    <n v="2"/>
    <n v="552.83000000000004"/>
    <s v="904 Main St"/>
    <x v="2"/>
    <x v="1"/>
    <s v="TRK38297718"/>
    <n v="3"/>
    <s v="NO COUPON CODE"/>
    <x v="1"/>
    <n v="1105.6600000000001"/>
  </r>
  <r>
    <s v="ORD201141"/>
    <x v="656"/>
    <s v="C11998"/>
    <x v="3"/>
    <n v="3"/>
    <n v="498.66"/>
    <s v="382 Main St"/>
    <x v="4"/>
    <x v="1"/>
    <s v="TRK26707221"/>
    <n v="6"/>
    <s v="NO COUPON CODE"/>
    <x v="2"/>
    <n v="1495.98"/>
  </r>
  <r>
    <s v="ORD201142"/>
    <x v="1"/>
    <s v="C23405"/>
    <x v="1"/>
    <n v="4"/>
    <n v="695.1"/>
    <s v="484 Main St"/>
    <x v="0"/>
    <x v="2"/>
    <s v="TRK83678708"/>
    <n v="8"/>
    <s v="NO COUPON CODE"/>
    <x v="2"/>
    <n v="2780.4"/>
  </r>
  <r>
    <s v="ORD201143"/>
    <x v="659"/>
    <s v="C41132"/>
    <x v="3"/>
    <n v="1"/>
    <n v="381.61"/>
    <s v="114 Main St"/>
    <x v="0"/>
    <x v="4"/>
    <s v="TRK51040137"/>
    <n v="5"/>
    <s v="NO COUPON CODE"/>
    <x v="2"/>
    <n v="381.61"/>
  </r>
  <r>
    <s v="ORD201144"/>
    <x v="223"/>
    <s v="C88463"/>
    <x v="6"/>
    <n v="5"/>
    <n v="507.94"/>
    <s v="292 Main St"/>
    <x v="1"/>
    <x v="1"/>
    <s v="TRK88749996"/>
    <n v="9"/>
    <s v="NO COUPON CODE"/>
    <x v="3"/>
    <n v="2539.6999999999998"/>
  </r>
  <r>
    <s v="ORD201145"/>
    <x v="275"/>
    <s v="C28152"/>
    <x v="6"/>
    <n v="3"/>
    <n v="571.53"/>
    <s v="821 Main St"/>
    <x v="0"/>
    <x v="3"/>
    <s v="TRK59642814"/>
    <n v="6"/>
    <s v="FREESHIP"/>
    <x v="3"/>
    <n v="1714.59"/>
  </r>
  <r>
    <s v="ORD201146"/>
    <x v="525"/>
    <s v="C36383"/>
    <x v="0"/>
    <n v="5"/>
    <n v="421.44"/>
    <s v="286 Main St"/>
    <x v="4"/>
    <x v="4"/>
    <s v="TRK93336357"/>
    <n v="5"/>
    <s v="SAVE1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x v="611"/>
    <s v="C54886"/>
    <x v="1"/>
    <n v="1"/>
    <n v="355.15"/>
    <s v="442 Main St"/>
    <x v="4"/>
    <x v="2"/>
    <s v="TRK66241930"/>
    <n v="2"/>
    <s v="SAVE10"/>
    <x v="2"/>
    <n v="355.15"/>
  </r>
  <r>
    <s v="ORD201149"/>
    <x v="568"/>
    <s v="C27305"/>
    <x v="3"/>
    <n v="2"/>
    <n v="695.29"/>
    <s v="957 Main St"/>
    <x v="2"/>
    <x v="4"/>
    <s v="TRK28789916"/>
    <n v="6"/>
    <s v="FREESHIP"/>
    <x v="0"/>
    <n v="1390.58"/>
  </r>
  <r>
    <s v="ORD201150"/>
    <x v="215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x v="22"/>
    <s v="C94381"/>
    <x v="3"/>
    <n v="2"/>
    <n v="608.04"/>
    <s v="962 Main St"/>
    <x v="4"/>
    <x v="1"/>
    <s v="TRK69804304"/>
    <n v="4"/>
    <s v="NO COUPON CODE"/>
    <x v="4"/>
    <n v="1216.08"/>
  </r>
  <r>
    <s v="ORD201152"/>
    <x v="576"/>
    <s v="C25162"/>
    <x v="2"/>
    <n v="2"/>
    <n v="344.18"/>
    <s v="533 Main St"/>
    <x v="2"/>
    <x v="0"/>
    <s v="TRK42183078"/>
    <n v="7"/>
    <s v="NO COUPON CODE"/>
    <x v="1"/>
    <n v="688.36"/>
  </r>
  <r>
    <s v="ORD201153"/>
    <x v="393"/>
    <s v="C98317"/>
    <x v="0"/>
    <n v="4"/>
    <n v="696.71"/>
    <s v="276 Main St"/>
    <x v="0"/>
    <x v="0"/>
    <s v="TRK37172138"/>
    <n v="4"/>
    <s v="NO COUPON CODE"/>
    <x v="0"/>
    <n v="2786.84"/>
  </r>
  <r>
    <s v="ORD201154"/>
    <x v="113"/>
    <s v="C53631"/>
    <x v="0"/>
    <n v="3"/>
    <n v="198.63"/>
    <s v="593 Main St"/>
    <x v="4"/>
    <x v="4"/>
    <s v="TRK67589167"/>
    <n v="8"/>
    <s v="SAVE10"/>
    <x v="0"/>
    <n v="595.89"/>
  </r>
  <r>
    <s v="ORD201155"/>
    <x v="34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x v="45"/>
    <s v="C20512"/>
    <x v="5"/>
    <n v="4"/>
    <n v="690.78"/>
    <s v="980 Main St"/>
    <x v="2"/>
    <x v="0"/>
    <s v="TRK98234737"/>
    <n v="9"/>
    <s v="NO COUPON CODE"/>
    <x v="1"/>
    <n v="2763.12"/>
  </r>
  <r>
    <s v="ORD201157"/>
    <x v="382"/>
    <s v="C25841"/>
    <x v="0"/>
    <n v="3"/>
    <n v="301.55"/>
    <s v="242 Main St"/>
    <x v="0"/>
    <x v="3"/>
    <s v="TRK21451375"/>
    <n v="5"/>
    <s v="FREESHIP"/>
    <x v="4"/>
    <n v="904.65000000000009"/>
  </r>
  <r>
    <s v="ORD201158"/>
    <x v="197"/>
    <s v="C82781"/>
    <x v="0"/>
    <n v="4"/>
    <n v="27.42"/>
    <s v="661 Main St"/>
    <x v="0"/>
    <x v="4"/>
    <s v="TRK20605418"/>
    <n v="4"/>
    <s v="SAVE10"/>
    <x v="1"/>
    <n v="109.68"/>
  </r>
  <r>
    <s v="ORD201159"/>
    <x v="203"/>
    <s v="C66112"/>
    <x v="6"/>
    <n v="4"/>
    <n v="466.7"/>
    <s v="874 Main St"/>
    <x v="0"/>
    <x v="2"/>
    <s v="TRK60955607"/>
    <n v="8"/>
    <s v="NO COUPON CODE"/>
    <x v="0"/>
    <n v="1866.8"/>
  </r>
  <r>
    <s v="ORD201160"/>
    <x v="333"/>
    <s v="C40466"/>
    <x v="6"/>
    <n v="1"/>
    <n v="541.64"/>
    <s v="449 Main St"/>
    <x v="0"/>
    <x v="0"/>
    <s v="TRK70255168"/>
    <n v="5"/>
    <s v="SAVE10"/>
    <x v="2"/>
    <n v="541.64"/>
  </r>
  <r>
    <s v="ORD201161"/>
    <x v="504"/>
    <s v="C32570"/>
    <x v="1"/>
    <n v="1"/>
    <n v="11.39"/>
    <s v="826 Main St"/>
    <x v="4"/>
    <x v="1"/>
    <s v="TRK35969968"/>
    <n v="6"/>
    <s v="WINTER15"/>
    <x v="2"/>
    <n v="11.39"/>
  </r>
  <r>
    <s v="ORD201162"/>
    <x v="660"/>
    <s v="C29405"/>
    <x v="1"/>
    <n v="2"/>
    <n v="224.37"/>
    <s v="251 Main St"/>
    <x v="0"/>
    <x v="3"/>
    <s v="TRK33125798"/>
    <n v="3"/>
    <s v="WINTER15"/>
    <x v="1"/>
    <n v="448.74"/>
  </r>
  <r>
    <s v="ORD201163"/>
    <x v="184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x v="649"/>
    <s v="C65890"/>
    <x v="2"/>
    <n v="5"/>
    <n v="315.57"/>
    <s v="340 Main St"/>
    <x v="0"/>
    <x v="3"/>
    <s v="TRK64530489"/>
    <n v="6"/>
    <s v="WINTER15"/>
    <x v="2"/>
    <n v="1577.85"/>
  </r>
  <r>
    <s v="ORD201165"/>
    <x v="328"/>
    <s v="C36992"/>
    <x v="3"/>
    <n v="3"/>
    <n v="223.79"/>
    <s v="617 Main St"/>
    <x v="0"/>
    <x v="4"/>
    <s v="TRK63460217"/>
    <n v="3"/>
    <s v="NO COUPON CODE"/>
    <x v="4"/>
    <n v="671.37"/>
  </r>
  <r>
    <s v="ORD201166"/>
    <x v="48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x v="661"/>
    <s v="C17966"/>
    <x v="4"/>
    <n v="2"/>
    <n v="92.87"/>
    <s v="360 Main St"/>
    <x v="2"/>
    <x v="4"/>
    <s v="TRK31169396"/>
    <n v="5"/>
    <s v="FREESHIP"/>
    <x v="3"/>
    <n v="185.74"/>
  </r>
  <r>
    <s v="ORD201168"/>
    <x v="505"/>
    <s v="C89559"/>
    <x v="5"/>
    <n v="2"/>
    <n v="331.42"/>
    <s v="297 Main St"/>
    <x v="2"/>
    <x v="3"/>
    <s v="TRK82838108"/>
    <n v="6"/>
    <s v="WINTER15"/>
    <x v="4"/>
    <n v="662.84"/>
  </r>
  <r>
    <s v="ORD201169"/>
    <x v="662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x v="567"/>
    <s v="C94257"/>
    <x v="4"/>
    <n v="2"/>
    <n v="697.19"/>
    <s v="762 Main St"/>
    <x v="4"/>
    <x v="2"/>
    <s v="TRK40220743"/>
    <n v="7"/>
    <s v="FREESHIP"/>
    <x v="2"/>
    <n v="1394.38"/>
  </r>
  <r>
    <s v="ORD201171"/>
    <x v="81"/>
    <s v="C39911"/>
    <x v="1"/>
    <n v="4"/>
    <n v="518.4"/>
    <s v="699 Main St"/>
    <x v="2"/>
    <x v="3"/>
    <s v="TRK80431998"/>
    <n v="7"/>
    <s v="SAVE10"/>
    <x v="3"/>
    <n v="2073.6"/>
  </r>
  <r>
    <s v="ORD201172"/>
    <x v="496"/>
    <s v="C28828"/>
    <x v="6"/>
    <n v="3"/>
    <n v="131.96"/>
    <s v="745 Main St"/>
    <x v="2"/>
    <x v="4"/>
    <s v="TRK32550359"/>
    <n v="8"/>
    <s v="NO COUPON CODE"/>
    <x v="0"/>
    <n v="395.88"/>
  </r>
  <r>
    <s v="ORD201173"/>
    <x v="449"/>
    <s v="C82921"/>
    <x v="0"/>
    <n v="1"/>
    <n v="208.36"/>
    <s v="703 Main St"/>
    <x v="1"/>
    <x v="0"/>
    <s v="TRK31079911"/>
    <n v="4"/>
    <s v="FREESHIP"/>
    <x v="2"/>
    <n v="208.36"/>
  </r>
  <r>
    <s v="ORD201174"/>
    <x v="110"/>
    <s v="C50159"/>
    <x v="4"/>
    <n v="3"/>
    <n v="222.34"/>
    <s v="105 Main St"/>
    <x v="2"/>
    <x v="2"/>
    <s v="TRK53737452"/>
    <n v="5"/>
    <s v="WINTER15"/>
    <x v="2"/>
    <n v="667.02"/>
  </r>
  <r>
    <s v="ORD201175"/>
    <x v="663"/>
    <s v="C62512"/>
    <x v="4"/>
    <n v="3"/>
    <n v="91.74"/>
    <s v="368 Main St"/>
    <x v="0"/>
    <x v="2"/>
    <s v="TRK24139954"/>
    <n v="8"/>
    <s v="FREESHIP"/>
    <x v="1"/>
    <n v="275.22000000000003"/>
  </r>
  <r>
    <s v="ORD201176"/>
    <x v="340"/>
    <s v="C39260"/>
    <x v="2"/>
    <n v="2"/>
    <n v="213.83"/>
    <s v="374 Main St"/>
    <x v="0"/>
    <x v="1"/>
    <s v="TRK55587314"/>
    <n v="2"/>
    <s v="WINTER15"/>
    <x v="2"/>
    <n v="427.66"/>
  </r>
  <r>
    <s v="ORD201177"/>
    <x v="664"/>
    <s v="C23917"/>
    <x v="4"/>
    <n v="1"/>
    <n v="127.55"/>
    <s v="433 Main St"/>
    <x v="4"/>
    <x v="0"/>
    <s v="TRK44434536"/>
    <n v="3"/>
    <s v="SAVE10"/>
    <x v="1"/>
    <n v="127.55"/>
  </r>
  <r>
    <s v="ORD201178"/>
    <x v="5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x v="150"/>
    <s v="C42235"/>
    <x v="3"/>
    <n v="4"/>
    <n v="298.36"/>
    <s v="722 Main St"/>
    <x v="0"/>
    <x v="4"/>
    <s v="TRK49379882"/>
    <n v="8"/>
    <s v="FREESHIP"/>
    <x v="4"/>
    <n v="1193.44"/>
  </r>
  <r>
    <s v="ORD201181"/>
    <x v="152"/>
    <s v="C70246"/>
    <x v="6"/>
    <n v="3"/>
    <n v="158.74"/>
    <s v="293 Main St"/>
    <x v="1"/>
    <x v="4"/>
    <s v="TRK45708320"/>
    <n v="7"/>
    <s v="FREESHIP"/>
    <x v="0"/>
    <n v="476.22"/>
  </r>
  <r>
    <s v="ORD201182"/>
    <x v="554"/>
    <s v="C18473"/>
    <x v="3"/>
    <n v="2"/>
    <n v="420.29"/>
    <s v="700 Main St"/>
    <x v="3"/>
    <x v="2"/>
    <s v="TRK97834202"/>
    <n v="3"/>
    <s v="SAVE10"/>
    <x v="4"/>
    <n v="840.58"/>
  </r>
  <r>
    <s v="ORD201183"/>
    <x v="228"/>
    <s v="C12607"/>
    <x v="6"/>
    <n v="1"/>
    <n v="281.52"/>
    <s v="460 Main St"/>
    <x v="3"/>
    <x v="0"/>
    <s v="TRK83653396"/>
    <n v="6"/>
    <s v="WINTER15"/>
    <x v="1"/>
    <n v="281.52"/>
  </r>
  <r>
    <s v="ORD201184"/>
    <x v="610"/>
    <s v="C10222"/>
    <x v="5"/>
    <n v="1"/>
    <n v="204.08"/>
    <s v="979 Main St"/>
    <x v="3"/>
    <x v="2"/>
    <s v="TRK86297895"/>
    <n v="4"/>
    <s v="NO COUPON CODE"/>
    <x v="4"/>
    <n v="204.08"/>
  </r>
  <r>
    <s v="ORD201185"/>
    <x v="665"/>
    <s v="C77344"/>
    <x v="3"/>
    <n v="1"/>
    <n v="343.31"/>
    <s v="777 Main St"/>
    <x v="3"/>
    <x v="2"/>
    <s v="TRK20605055"/>
    <n v="6"/>
    <s v="SAVE10"/>
    <x v="4"/>
    <n v="343.31"/>
  </r>
  <r>
    <s v="ORD201186"/>
    <x v="134"/>
    <s v="C65497"/>
    <x v="0"/>
    <n v="1"/>
    <n v="163.32"/>
    <s v="676 Main St"/>
    <x v="4"/>
    <x v="0"/>
    <s v="TRK83702761"/>
    <n v="6"/>
    <s v="WINTER15"/>
    <x v="3"/>
    <n v="163.32"/>
  </r>
  <r>
    <s v="ORD201187"/>
    <x v="206"/>
    <s v="C26340"/>
    <x v="6"/>
    <n v="2"/>
    <n v="184.6"/>
    <s v="562 Main St"/>
    <x v="3"/>
    <x v="3"/>
    <s v="TRK59962703"/>
    <n v="7"/>
    <s v="WINTER15"/>
    <x v="2"/>
    <n v="369.2"/>
  </r>
  <r>
    <s v="ORD201188"/>
    <x v="47"/>
    <s v="C75619"/>
    <x v="4"/>
    <n v="2"/>
    <n v="371.29"/>
    <s v="924 Main St"/>
    <x v="3"/>
    <x v="0"/>
    <s v="TRK23086941"/>
    <n v="5"/>
    <s v="WINTER15"/>
    <x v="3"/>
    <n v="742.58"/>
  </r>
  <r>
    <s v="ORD201189"/>
    <x v="666"/>
    <s v="C96136"/>
    <x v="2"/>
    <n v="5"/>
    <n v="389.22"/>
    <s v="149 Main St"/>
    <x v="4"/>
    <x v="1"/>
    <s v="TRK60856682"/>
    <n v="7"/>
    <s v="NO COUPON CODE"/>
    <x v="1"/>
    <n v="1946.1"/>
  </r>
  <r>
    <s v="ORD201190"/>
    <x v="647"/>
    <s v="C46886"/>
    <x v="6"/>
    <n v="3"/>
    <n v="616.39"/>
    <s v="754 Main St"/>
    <x v="2"/>
    <x v="0"/>
    <s v="TRK82791646"/>
    <n v="6"/>
    <s v="FREESHIP"/>
    <x v="0"/>
    <n v="1849.17"/>
  </r>
  <r>
    <s v="ORD201191"/>
    <x v="441"/>
    <s v="C44148"/>
    <x v="6"/>
    <n v="4"/>
    <n v="376.43"/>
    <s v="809 Main St"/>
    <x v="3"/>
    <x v="4"/>
    <s v="TRK67872709"/>
    <n v="5"/>
    <s v="WINTER15"/>
    <x v="0"/>
    <n v="1505.72"/>
  </r>
  <r>
    <s v="ORD201192"/>
    <x v="329"/>
    <s v="C72007"/>
    <x v="3"/>
    <n v="3"/>
    <n v="432.85"/>
    <s v="999 Main St"/>
    <x v="1"/>
    <x v="4"/>
    <s v="TRK16240916"/>
    <n v="4"/>
    <s v="NO COUPON CODE"/>
    <x v="0"/>
    <n v="1298.55"/>
  </r>
  <r>
    <s v="ORD201193"/>
    <x v="667"/>
    <s v="C45104"/>
    <x v="2"/>
    <n v="1"/>
    <n v="687.89"/>
    <s v="348 Main St"/>
    <x v="4"/>
    <x v="2"/>
    <s v="TRK38559816"/>
    <n v="1"/>
    <s v="FREESHIP"/>
    <x v="2"/>
    <n v="687.89"/>
  </r>
  <r>
    <s v="ORD201194"/>
    <x v="614"/>
    <s v="C29885"/>
    <x v="4"/>
    <n v="3"/>
    <n v="189.44"/>
    <s v="725 Main St"/>
    <x v="4"/>
    <x v="4"/>
    <s v="TRK62067865"/>
    <n v="4"/>
    <s v="FREESHIP"/>
    <x v="2"/>
    <n v="568.31999999999994"/>
  </r>
  <r>
    <s v="ORD201195"/>
    <x v="643"/>
    <s v="C21126"/>
    <x v="6"/>
    <n v="1"/>
    <n v="107.04"/>
    <s v="392 Main St"/>
    <x v="2"/>
    <x v="1"/>
    <s v="TRK38009181"/>
    <n v="6"/>
    <s v="FREESHIP"/>
    <x v="4"/>
    <n v="107.04"/>
  </r>
  <r>
    <s v="ORD201196"/>
    <x v="668"/>
    <s v="C20095"/>
    <x v="0"/>
    <n v="2"/>
    <n v="662.53"/>
    <s v="778 Main St"/>
    <x v="1"/>
    <x v="1"/>
    <s v="TRK69207593"/>
    <n v="5"/>
    <s v="NO COUPON CODE"/>
    <x v="3"/>
    <n v="1325.06"/>
  </r>
  <r>
    <s v="ORD201197"/>
    <x v="669"/>
    <s v="C79674"/>
    <x v="2"/>
    <n v="2"/>
    <n v="436.84"/>
    <s v="275 Main St"/>
    <x v="1"/>
    <x v="3"/>
    <s v="TRK88039356"/>
    <n v="2"/>
    <s v="FREESHIP"/>
    <x v="0"/>
    <n v="873.68"/>
  </r>
  <r>
    <s v="ORD201198"/>
    <x v="670"/>
    <s v="C64753"/>
    <x v="3"/>
    <n v="4"/>
    <n v="262.52"/>
    <s v="509 Main St"/>
    <x v="0"/>
    <x v="1"/>
    <s v="TRK71683331"/>
    <n v="4"/>
    <s v="WINTER15"/>
    <x v="0"/>
    <n v="1050.08"/>
  </r>
  <r>
    <s v="ORD201199"/>
    <x v="236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D64CB-3D12-4022-8931-CF025360850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K6:L12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Qty" fld="4" baseField="0" baseItem="0"/>
  </dataFields>
  <formats count="34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8" type="button" dataOnly="0" labelOnly="1" outline="0"/>
    </format>
    <format dxfId="35">
      <pivotArea dataOnly="0" labelOnly="1" outline="0" axis="axisValues" fieldPosition="0"/>
    </format>
    <format dxfId="34">
      <pivotArea dataOnly="0" labelOnly="1" grandRow="1" outline="0" fieldPosition="0"/>
    </format>
    <format dxfId="33">
      <pivotArea grandRow="1" outline="0" collapsedLevelsAreSubtotals="1" fieldPosition="0"/>
    </format>
    <format dxfId="32">
      <pivotArea type="all" dataOnly="0" outline="0" fieldPosition="0"/>
    </format>
    <format dxfId="31">
      <pivotArea field="12" type="button" dataOnly="0" labelOnly="1" outline="0" axis="axisRow" fieldPosition="0"/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28">
      <pivotArea dataOnly="0" fieldPosition="0">
        <references count="1">
          <reference field="12" count="0"/>
        </references>
      </pivotArea>
    </format>
    <format dxfId="27">
      <pivotArea field="12" type="button" dataOnly="0" labelOnly="1" outline="0" axis="axisRow" fieldPosition="0"/>
    </format>
    <format dxfId="26">
      <pivotArea dataOnly="0" labelOnly="1" outline="0" axis="axisValues" fieldPosition="0"/>
    </format>
    <format dxfId="25">
      <pivotArea dataOnly="0" labelOnly="1" grandRow="1" outline="0" fieldPosition="0"/>
    </format>
    <format dxfId="24">
      <pivotArea grandRow="1" outline="0" collapsedLevelsAreSubtotals="1" fieldPosition="0"/>
    </format>
    <format dxfId="23">
      <pivotArea dataOnly="0" labelOnly="1" outline="0" axis="axisValues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2" type="button" dataOnly="0" labelOnly="1" outline="0" axis="axisRow" fieldPosition="0"/>
    </format>
    <format dxfId="19">
      <pivotArea dataOnly="0" labelOnly="1" fieldPosition="0">
        <references count="1">
          <reference field="12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2" type="button" dataOnly="0" labelOnly="1" outline="0" axis="axisRow" fieldPosition="0"/>
    </format>
    <format dxfId="13">
      <pivotArea dataOnly="0" labelOnly="1" fieldPosition="0">
        <references count="1">
          <reference field="12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12" type="button" dataOnly="0" labelOnly="1" outline="0" axis="axisRow" fieldPosition="0"/>
    </format>
    <format dxfId="7">
      <pivotArea dataOnly="0" labelOnly="1" fieldPosition="0">
        <references count="1">
          <reference field="12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A67CA-7748-44EA-9CB9-042442C82FB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H6:I12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Qty" fld="4" baseField="0" baseItem="0"/>
  </dataFields>
  <formats count="37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8" type="button" dataOnly="0" labelOnly="1" outline="0"/>
    </format>
    <format dxfId="72">
      <pivotArea dataOnly="0" labelOnly="1" outline="0" axis="axisValues" fieldPosition="0"/>
    </format>
    <format dxfId="71">
      <pivotArea dataOnly="0" labelOnly="1" grandRow="1" outline="0" fieldPosition="0"/>
    </format>
    <format dxfId="70">
      <pivotArea grandRow="1" outline="0" collapsedLevelsAreSubtotals="1" fieldPosition="0"/>
    </format>
    <format dxfId="69">
      <pivotArea type="all" dataOnly="0" outline="0" fieldPosition="0"/>
    </format>
    <format dxfId="68">
      <pivotArea field="8" type="button" dataOnly="0" labelOnly="1" outline="0"/>
    </format>
    <format dxfId="67">
      <pivotArea dataOnly="0" labelOnly="1" outline="0" axis="axisValues" fieldPosition="0"/>
    </format>
    <format dxfId="66">
      <pivotArea type="all" dataOnly="0" outline="0" fieldPosition="0"/>
    </format>
    <format dxfId="65">
      <pivotArea field="8" type="button" dataOnly="0" labelOnly="1" outline="0"/>
    </format>
    <format dxfId="64">
      <pivotArea dataOnly="0" labelOnly="1" outline="0" axis="axisValues" fieldPosition="0"/>
    </format>
    <format dxfId="63">
      <pivotArea dataOnly="0" fieldPosition="0">
        <references count="1">
          <reference field="7" count="0"/>
        </references>
      </pivotArea>
    </format>
    <format dxfId="62">
      <pivotArea field="7" type="button" dataOnly="0" labelOnly="1" outline="0" axis="axisRow" fieldPosition="0"/>
    </format>
    <format dxfId="61">
      <pivotArea dataOnly="0" labelOnly="1" outline="0" axis="axisValues" fieldPosition="0"/>
    </format>
    <format dxfId="60">
      <pivotArea dataOnly="0" grandRow="1" axis="axisRow" fieldPosition="0"/>
    </format>
    <format dxfId="59">
      <pivotArea type="all" dataOnly="0" outline="0" fieldPosition="0"/>
    </format>
    <format dxfId="58">
      <pivotArea dataOnly="0" labelOnly="1" outline="0" axis="axisValues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7" type="button" dataOnly="0" labelOnly="1" outline="0" axis="axisRow" fieldPosition="0"/>
    </format>
    <format dxfId="53">
      <pivotArea dataOnly="0" labelOnly="1" fieldPosition="0">
        <references count="1">
          <reference field="7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7" type="button" dataOnly="0" labelOnly="1" outline="0" axis="axisRow" fieldPosition="0"/>
    </format>
    <format dxfId="47">
      <pivotArea dataOnly="0" labelOnly="1" fieldPosition="0">
        <references count="1">
          <reference field="7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7" type="button" dataOnly="0" labelOnly="1" outline="0" axis="axisRow" fieldPosition="0"/>
    </format>
    <format dxfId="41">
      <pivotArea dataOnly="0" labelOnly="1" fieldPosition="0">
        <references count="1">
          <reference field="7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6E529-CB5E-4E6E-996A-135B8FC961B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E6:F12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Qty" fld="4" baseField="0" baseItem="0"/>
  </dataFields>
  <formats count="38"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8" type="button" dataOnly="0" labelOnly="1" outline="0" axis="axisRow" fieldPosition="0"/>
    </format>
    <format dxfId="110">
      <pivotArea dataOnly="0" labelOnly="1" fieldPosition="0">
        <references count="1">
          <reference field="8" count="0"/>
        </references>
      </pivotArea>
    </format>
    <format dxfId="109">
      <pivotArea dataOnly="0" labelOnly="1" outline="0" axis="axisValues" fieldPosition="0"/>
    </format>
    <format dxfId="108">
      <pivotArea dataOnly="0" labelOnly="1" grandRow="1" outline="0" fieldPosition="0"/>
    </format>
    <format dxfId="107">
      <pivotArea grandRow="1" outline="0" collapsedLevelsAreSubtotals="1" fieldPosition="0"/>
    </format>
    <format dxfId="106">
      <pivotArea type="all" dataOnly="0" outline="0" fieldPosition="0"/>
    </format>
    <format dxfId="105">
      <pivotArea field="8" type="button" dataOnly="0" labelOnly="1" outline="0" axis="axisRow" fieldPosition="0"/>
    </format>
    <format dxfId="104">
      <pivotArea dataOnly="0" labelOnly="1" outline="0" axis="axisValues" fieldPosition="0"/>
    </format>
    <format dxfId="103">
      <pivotArea type="all" dataOnly="0" outline="0" fieldPosition="0"/>
    </format>
    <format dxfId="102">
      <pivotArea field="8" type="button" dataOnly="0" labelOnly="1" outline="0" axis="axisRow" fieldPosition="0"/>
    </format>
    <format dxfId="101">
      <pivotArea dataOnly="0" labelOnly="1" outline="0" axis="axisValues" fieldPosition="0"/>
    </format>
    <format dxfId="100">
      <pivotArea field="8" type="button" dataOnly="0" labelOnly="1" outline="0" axis="axisRow" fieldPosition="0"/>
    </format>
    <format dxfId="99">
      <pivotArea dataOnly="0" labelOnly="1" outline="0" axis="axisValues" fieldPosition="0"/>
    </format>
    <format dxfId="98">
      <pivotArea dataOnly="0" grandRow="1" axis="axisRow" fieldPosition="0"/>
    </format>
    <format dxfId="97">
      <pivotArea type="all" dataOnly="0" outline="0" fieldPosition="0"/>
    </format>
    <format dxfId="96">
      <pivotArea dataOnly="0" labelOnly="1" outline="0" axis="axisValues" fieldPosition="0"/>
    </format>
    <format dxfId="95">
      <pivotArea dataOnly="0" fieldPosition="0">
        <references count="1">
          <reference field="8" count="0"/>
        </references>
      </pivotArea>
    </format>
    <format dxfId="94">
      <pivotArea dataOnly="0" labelOnly="1" outline="0" axis="axisValues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8" type="button" dataOnly="0" labelOnly="1" outline="0" axis="axisRow" fieldPosition="0"/>
    </format>
    <format dxfId="90">
      <pivotArea dataOnly="0" labelOnly="1" fieldPosition="0">
        <references count="1">
          <reference field="8" count="0"/>
        </references>
      </pivotArea>
    </format>
    <format dxfId="89">
      <pivotArea dataOnly="0" labelOnly="1" grandRow="1" outline="0" fieldPosition="0"/>
    </format>
    <format dxfId="88">
      <pivotArea dataOnly="0" labelOnly="1" outline="0" axis="axisValues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8" type="button" dataOnly="0" labelOnly="1" outline="0" axis="axisRow" fieldPosition="0"/>
    </format>
    <format dxfId="84">
      <pivotArea dataOnly="0" labelOnly="1" fieldPosition="0">
        <references count="1">
          <reference field="8" count="0"/>
        </references>
      </pivotArea>
    </format>
    <format dxfId="83">
      <pivotArea dataOnly="0" labelOnly="1" grandRow="1" outline="0" fieldPosition="0"/>
    </format>
    <format dxfId="82">
      <pivotArea dataOnly="0" labelOnly="1" outline="0" axis="axisValues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8" type="button" dataOnly="0" labelOnly="1" outline="0" axis="axisRow" fieldPosition="0"/>
    </format>
    <format dxfId="78">
      <pivotArea dataOnly="0" labelOnly="1" fieldPosition="0">
        <references count="1">
          <reference field="8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4E8D9-9AA3-4160-B1DB-DA61C5D3AEC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B6:C14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sales" fld="13" baseField="0" baseItem="0"/>
  </dataFields>
  <formats count="28">
    <format dxfId="141">
      <pivotArea field="3" type="button" dataOnly="0" labelOnly="1" outline="0" axis="axisRow" fieldPosition="0"/>
    </format>
    <format dxfId="140">
      <pivotArea dataOnly="0" labelOnly="1" outline="0" axis="axisValues" fieldPosition="0"/>
    </format>
    <format dxfId="139">
      <pivotArea dataOnly="0" grandRow="1" fieldPosition="0"/>
    </format>
    <format dxfId="138">
      <pivotArea type="all" dataOnly="0" outline="0" fieldPosition="0"/>
    </format>
    <format dxfId="137">
      <pivotArea field="3" type="button" dataOnly="0" labelOnly="1" outline="0" axis="axisRow" fieldPosition="0"/>
    </format>
    <format dxfId="136">
      <pivotArea dataOnly="0" labelOnly="1" outline="0" axis="axisValues" fieldPosition="0"/>
    </format>
    <format dxfId="135">
      <pivotArea dataOnly="0" labelOnly="1" outline="0" axis="axisValues" fieldPosition="0"/>
    </format>
    <format dxfId="134">
      <pivotArea field="3" type="button" dataOnly="0" labelOnly="1" outline="0" axis="axisRow" fieldPosition="0"/>
    </format>
    <format dxfId="133">
      <pivotArea dataOnly="0" labelOnly="1" outline="0" axis="axisValues" fieldPosition="0"/>
    </format>
    <format dxfId="132">
      <pivotArea dataOnly="0" grandRow="1" axis="axisRow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3" type="button" dataOnly="0" labelOnly="1" outline="0" axis="axisRow" fieldPosition="0"/>
    </format>
    <format dxfId="128">
      <pivotArea dataOnly="0" labelOnly="1" fieldPosition="0">
        <references count="1">
          <reference field="3" count="0"/>
        </references>
      </pivotArea>
    </format>
    <format dxfId="127">
      <pivotArea dataOnly="0" labelOnly="1" grandRow="1" outline="0" fieldPosition="0"/>
    </format>
    <format dxfId="126">
      <pivotArea dataOnly="0" labelOnly="1" outline="0" axis="axisValues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3" type="button" dataOnly="0" labelOnly="1" outline="0" axis="axisRow" fieldPosition="0"/>
    </format>
    <format dxfId="122">
      <pivotArea dataOnly="0" labelOnly="1" fieldPosition="0">
        <references count="1">
          <reference field="3" count="0"/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3" type="button" dataOnly="0" labelOnly="1" outline="0" axis="axisRow" fieldPosition="0"/>
    </format>
    <format dxfId="116">
      <pivotArea dataOnly="0" labelOnly="1" fieldPosition="0">
        <references count="1">
          <reference field="3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D7E2C-6EB4-4B24-81BD-869162D9580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N6:O19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Sales" fld="13" baseField="0" baseItem="0"/>
  </dataFields>
  <formats count="35"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8" type="button" dataOnly="0" labelOnly="1" outline="0"/>
    </format>
    <format dxfId="173">
      <pivotArea dataOnly="0" labelOnly="1" outline="0" axis="axisValues" fieldPosition="0"/>
    </format>
    <format dxfId="172">
      <pivotArea dataOnly="0" labelOnly="1" grandRow="1" outline="0" fieldPosition="0"/>
    </format>
    <format dxfId="171">
      <pivotArea grandRow="1" outline="0" collapsedLevelsAreSubtotals="1" fieldPosition="0"/>
    </format>
    <format dxfId="170">
      <pivotArea type="all" dataOnly="0" outline="0" fieldPosition="0"/>
    </format>
    <format dxfId="169">
      <pivotArea field="14" type="button" dataOnly="0" labelOnly="1" outline="0" axis="axisRow" fieldPosition="0"/>
    </format>
    <format dxfId="168">
      <pivotArea dataOnly="0" labelOnly="1" grandRow="1" outline="0" fieldPosition="0"/>
    </format>
    <format dxfId="167">
      <pivotArea dataOnly="0" labelOnly="1" outline="0" axis="axisValues" fieldPosition="0"/>
    </format>
    <format dxfId="166">
      <pivotArea field="14" type="button" dataOnly="0" labelOnly="1" outline="0" axis="axisRow" fieldPosition="0"/>
    </format>
    <format dxfId="165">
      <pivotArea dataOnly="0" labelOnly="1" outline="0" axis="axisValues" fieldPosition="0"/>
    </format>
    <format dxfId="164">
      <pivotArea dataOnly="0" labelOnly="1" grandRow="1" outline="0" fieldPosition="0"/>
    </format>
    <format dxfId="163">
      <pivotArea grandRow="1" outline="0" collapsedLevelsAreSubtotals="1" fieldPosition="0"/>
    </format>
    <format dxfId="162">
      <pivotArea dataOnly="0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14" type="button" dataOnly="0" labelOnly="1" outline="0" axis="axisRow" fieldPosition="0"/>
    </format>
    <format dxfId="158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57">
      <pivotArea dataOnly="0" labelOnly="1" grandRow="1" outline="0" fieldPosition="0"/>
    </format>
    <format dxfId="156">
      <pivotArea dataOnly="0" labelOnly="1" outline="0" axis="axisValues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14" type="button" dataOnly="0" labelOnly="1" outline="0" axis="axisRow" fieldPosition="0"/>
    </format>
    <format dxfId="152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51">
      <pivotArea dataOnly="0" labelOnly="1" grandRow="1" outline="0" fieldPosition="0"/>
    </format>
    <format dxfId="150">
      <pivotArea dataOnly="0" labelOnly="1" outline="0" axis="axisValues" fieldPosition="0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14" type="button" dataOnly="0" labelOnly="1" outline="0" axis="axisRow" fieldPosition="0"/>
    </format>
    <format dxfId="146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45">
      <pivotArea dataOnly="0" labelOnly="1" grandRow="1" outline="0" fieldPosition="0"/>
    </format>
    <format dxfId="144">
      <pivotArea dataOnly="0" labelOnly="1" outline="0" axis="axisValues" fieldPosition="0"/>
    </format>
    <format dxfId="143">
      <pivotArea collapsedLevelsAreSubtotals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4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C0D9E-384D-40BB-A762-E71A770AE79C}" name="Table1" displayName="Table1" ref="A1:N1201" totalsRowShown="0" headerRowDxfId="4" headerRowBorderDxfId="3" tableBorderDxfId="2">
  <autoFilter ref="A1:N1201" xr:uid="{979C0D9E-384D-40BB-A762-E71A770AE79C}"/>
  <tableColumns count="14">
    <tableColumn id="1" xr3:uid="{26615ABC-69E1-4C82-88C3-42AB423CA458}" name="OrderID"/>
    <tableColumn id="2" xr3:uid="{7BF331A9-4942-4ABF-9152-4DE59D6EB9DA}" name="Date" dataDxfId="1"/>
    <tableColumn id="3" xr3:uid="{3F58E819-E920-4CCF-AB88-06B623DD01E8}" name="CustomerID"/>
    <tableColumn id="4" xr3:uid="{DD5A4651-8A35-459A-A904-64B32DBFC338}" name="Product"/>
    <tableColumn id="5" xr3:uid="{508617CE-97E4-436B-BDCB-A2E078F98DF7}" name="Quantity"/>
    <tableColumn id="6" xr3:uid="{FFB0C3F2-7E37-4688-ACC6-C1AE8D0DA617}" name="UnitPrice"/>
    <tableColumn id="7" xr3:uid="{7A2A71DD-B9DD-43B4-B1FE-7148DB43CD41}" name="ShippingAddress"/>
    <tableColumn id="8" xr3:uid="{707251A1-45CC-40AC-ADD4-21DC77A52ACE}" name="PaymentMethod"/>
    <tableColumn id="9" xr3:uid="{C137EA6C-54B6-4742-8968-28C97AD7580E}" name="OrderStatus"/>
    <tableColumn id="10" xr3:uid="{76C23EDD-3F85-40A6-A7BB-843F2C039A45}" name="TrackingNumber"/>
    <tableColumn id="11" xr3:uid="{490B4D09-AFF8-467A-BF8A-FD8852248EDF}" name="ItemsInCart"/>
    <tableColumn id="12" xr3:uid="{86B24FC0-78AE-4063-BA6A-FEA67AA723CE}" name="CouponCode"/>
    <tableColumn id="13" xr3:uid="{63B2EA19-1ABF-4810-AE69-F26D59C2242A}" name="ReferralSource"/>
    <tableColumn id="14" xr3:uid="{BDE2C54A-EE07-4255-A456-7BFA392FAFA9}" name="TotalPrice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5A0ECC-7E9E-4D69-B5CA-FFB189074B95}" name="Table5" displayName="Table5" ref="U4:X13" totalsRowShown="0">
  <autoFilter ref="U4:X13" xr:uid="{C95A0ECC-7E9E-4D69-B5CA-FFB189074B95}"/>
  <tableColumns count="4">
    <tableColumn id="1" xr3:uid="{D7307CBB-F6A7-4DCA-BBA5-D10C9A5A9EA8}" name="Metric"/>
    <tableColumn id="2" xr3:uid="{BE9C90BF-64D7-4143-B474-161973145B43}" name="Quantity" dataDxfId="0">
      <calculatedColumnFormula>COUNTA(E2:E1201)</calculatedColumnFormula>
    </tableColumn>
    <tableColumn id="3" xr3:uid="{0E2121C6-CD16-4D07-AD6A-A3045B5F977B}" name="Unit Price"/>
    <tableColumn id="4" xr3:uid="{5D6FEE47-F375-4A30-84CC-3C06D3615B67}" name="Total Pric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E14" sqref="E14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A1FB-01CF-4BD9-BAEF-EAF1D6925022}">
  <dimension ref="A1:AP1201"/>
  <sheetViews>
    <sheetView tabSelected="1" zoomScale="90" zoomScaleNormal="90" workbookViewId="0">
      <selection activeCell="Z4" sqref="Z4"/>
    </sheetView>
  </sheetViews>
  <sheetFormatPr defaultRowHeight="17.100000000000001" customHeight="1" x14ac:dyDescent="0.25"/>
  <cols>
    <col min="1" max="1" width="13.140625" bestFit="1" customWidth="1"/>
    <col min="2" max="2" width="11.285156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0.7109375" customWidth="1"/>
    <col min="12" max="12" width="17.7109375" bestFit="1" customWidth="1"/>
    <col min="13" max="13" width="16.28515625" customWidth="1"/>
    <col min="14" max="14" width="12" customWidth="1"/>
    <col min="15" max="18" width="12" style="12" customWidth="1"/>
    <col min="19" max="20" width="9.140625" style="12"/>
    <col min="21" max="24" width="18.7109375" customWidth="1"/>
    <col min="25" max="39" width="9.140625" style="12"/>
  </cols>
  <sheetData>
    <row r="1" spans="1:42" ht="17.10000000000000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6"/>
      <c r="P1" s="16"/>
      <c r="Q1" s="16"/>
      <c r="R1" s="16"/>
      <c r="U1" s="12"/>
      <c r="V1" s="12"/>
      <c r="W1" s="12"/>
      <c r="X1" s="12"/>
      <c r="AN1" s="12"/>
      <c r="AO1" s="12"/>
      <c r="AP1" s="12"/>
    </row>
    <row r="2" spans="1:42" ht="17.100000000000001" customHeight="1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U2" s="52" t="s">
        <v>4294</v>
      </c>
      <c r="V2" s="53"/>
      <c r="W2" s="53"/>
      <c r="X2" s="54"/>
      <c r="AN2" s="12"/>
      <c r="AO2" s="12"/>
      <c r="AP2" s="12"/>
    </row>
    <row r="3" spans="1:42" ht="17.100000000000001" customHeight="1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U3" s="14"/>
      <c r="V3" s="12"/>
      <c r="W3" s="12"/>
      <c r="X3" s="15"/>
      <c r="AN3" s="12"/>
      <c r="AO3" s="12"/>
      <c r="AP3" s="12"/>
    </row>
    <row r="4" spans="1:42" ht="17.100000000000001" customHeight="1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U4" s="5" t="s">
        <v>4284</v>
      </c>
      <c r="V4" s="4" t="s">
        <v>4</v>
      </c>
      <c r="W4" s="4" t="s">
        <v>4285</v>
      </c>
      <c r="X4" s="6" t="s">
        <v>4286</v>
      </c>
    </row>
    <row r="5" spans="1:42" ht="17.100000000000001" customHeight="1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U5" s="7" t="s">
        <v>4287</v>
      </c>
      <c r="V5" s="17">
        <f>COUNTA(E2:E1201)</f>
        <v>1200</v>
      </c>
      <c r="W5" s="17">
        <f t="shared" ref="W5" si="0">COUNTA(F2:F1201)</f>
        <v>1200</v>
      </c>
      <c r="X5" s="19">
        <f t="shared" ref="X5" si="1">COUNTA(G2:G1201)</f>
        <v>1200</v>
      </c>
    </row>
    <row r="6" spans="1:42" ht="17.100000000000001" customHeight="1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U6" s="7" t="s">
        <v>4293</v>
      </c>
      <c r="V6" s="17">
        <f>SUM(E2:E1201)</f>
        <v>3535</v>
      </c>
      <c r="W6" s="17">
        <f>SUM(F2:F1201)</f>
        <v>427695.3000000001</v>
      </c>
      <c r="X6" s="19">
        <f>SUM(N2:N1201)</f>
        <v>1264761.9600000004</v>
      </c>
    </row>
    <row r="7" spans="1:42" ht="17.100000000000001" customHeight="1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U7" s="7" t="s">
        <v>4288</v>
      </c>
      <c r="V7" s="17">
        <f>MEDIAN(E2:E1201)</f>
        <v>3</v>
      </c>
      <c r="W7" s="17">
        <f>MEDIAN(F2:F1201)</f>
        <v>364.21</v>
      </c>
      <c r="X7" s="19">
        <f>MEDIAN(N2:N1201)</f>
        <v>823.61500000000001</v>
      </c>
    </row>
    <row r="8" spans="1:42" ht="17.100000000000001" customHeight="1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U8" s="7" t="s">
        <v>4289</v>
      </c>
      <c r="V8" s="17">
        <f>MIN(E1:E1201)</f>
        <v>1</v>
      </c>
      <c r="W8" s="17">
        <f>MIN(F2:F1201)</f>
        <v>11.39</v>
      </c>
      <c r="X8" s="19">
        <f>MIN(N2:N1201)</f>
        <v>11.39</v>
      </c>
    </row>
    <row r="9" spans="1:42" ht="17.100000000000001" customHeight="1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U9" s="7" t="s">
        <v>4290</v>
      </c>
      <c r="V9" s="17">
        <f>MAX(E2:E1201)</f>
        <v>5</v>
      </c>
      <c r="W9" s="17">
        <f>MAX(F2:F1201)</f>
        <v>699.93</v>
      </c>
      <c r="X9" s="19">
        <f>MAX(N2:N1201)</f>
        <v>3456.4</v>
      </c>
    </row>
    <row r="10" spans="1:42" ht="17.100000000000001" customHeight="1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U10" s="7" t="s">
        <v>4291</v>
      </c>
      <c r="V10" s="17">
        <f>AVERAGE(E2:E1201)</f>
        <v>2.9458333333333333</v>
      </c>
      <c r="W10" s="17">
        <f>AVERAGE(F2:F1201)</f>
        <v>356.41275000000007</v>
      </c>
      <c r="X10" s="19">
        <f>AVERAGE(N2:N1201)</f>
        <v>1053.9683000000005</v>
      </c>
    </row>
    <row r="11" spans="1:42" ht="17.100000000000001" customHeight="1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U11" s="9" t="s">
        <v>4292</v>
      </c>
      <c r="V11" s="18">
        <f>SUBTOTAL(9,E2:E1201)</f>
        <v>3535</v>
      </c>
      <c r="W11" s="18">
        <f>SUBTOTAL(9,F2:F1201)</f>
        <v>427695.3000000001</v>
      </c>
      <c r="X11" s="20">
        <f>SUBTOTAL(9,N2:N1201)</f>
        <v>1264761.9600000004</v>
      </c>
    </row>
    <row r="12" spans="1:42" ht="17.100000000000001" customHeight="1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U12" s="12"/>
      <c r="V12" s="12"/>
      <c r="W12" s="12"/>
      <c r="X12" s="12"/>
    </row>
    <row r="13" spans="1:42" ht="17.100000000000001" customHeight="1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U13" s="12"/>
      <c r="V13" s="12"/>
      <c r="W13" s="12"/>
      <c r="X13" s="12"/>
    </row>
    <row r="14" spans="1:42" ht="17.100000000000001" customHeight="1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U14" s="12"/>
      <c r="V14" s="12"/>
      <c r="W14" s="12"/>
      <c r="X14" s="12"/>
    </row>
    <row r="15" spans="1:42" ht="17.100000000000001" customHeight="1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U15" s="12"/>
      <c r="V15" s="12"/>
      <c r="W15" s="12"/>
      <c r="X15" s="12"/>
    </row>
    <row r="16" spans="1:42" ht="17.100000000000001" customHeight="1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U16" s="12"/>
      <c r="V16" s="12"/>
      <c r="W16" s="12"/>
      <c r="X16" s="12"/>
    </row>
    <row r="17" spans="1:24" ht="17.100000000000001" customHeight="1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U17" s="12"/>
      <c r="V17" s="12"/>
      <c r="W17" s="12"/>
      <c r="X17" s="12"/>
    </row>
    <row r="18" spans="1:24" ht="17.100000000000001" customHeight="1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U18" s="12"/>
      <c r="V18" s="12"/>
      <c r="W18" s="12"/>
      <c r="X18" s="12"/>
    </row>
    <row r="19" spans="1:24" ht="17.100000000000001" customHeight="1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U19" s="12"/>
      <c r="V19" s="12"/>
      <c r="W19" s="12"/>
      <c r="X19" s="12"/>
    </row>
    <row r="20" spans="1:24" ht="17.100000000000001" customHeight="1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U20" s="12"/>
      <c r="V20" s="12"/>
      <c r="W20" s="12"/>
      <c r="X20" s="12"/>
    </row>
    <row r="21" spans="1:24" ht="17.100000000000001" customHeight="1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U21" s="12"/>
      <c r="V21" s="12"/>
      <c r="W21" s="12"/>
      <c r="X21" s="12"/>
    </row>
    <row r="22" spans="1:24" ht="17.100000000000001" customHeight="1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U22" s="12"/>
      <c r="V22" s="12"/>
      <c r="W22" s="12"/>
      <c r="X22" s="12"/>
    </row>
    <row r="23" spans="1:24" ht="17.100000000000001" customHeight="1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U23" s="12"/>
      <c r="V23" s="12"/>
      <c r="W23" s="12"/>
      <c r="X23" s="12"/>
    </row>
    <row r="24" spans="1:24" ht="17.100000000000001" customHeight="1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U24" s="12"/>
      <c r="V24" s="12"/>
      <c r="W24" s="12"/>
      <c r="X24" s="12"/>
    </row>
    <row r="25" spans="1:24" ht="17.100000000000001" customHeight="1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U25" s="12"/>
      <c r="V25" s="12"/>
      <c r="W25" s="12"/>
      <c r="X25" s="12"/>
    </row>
    <row r="26" spans="1:24" ht="17.100000000000001" customHeight="1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U26" s="12"/>
      <c r="V26" s="12"/>
      <c r="W26" s="12"/>
      <c r="X26" s="12"/>
    </row>
    <row r="27" spans="1:24" ht="17.100000000000001" customHeight="1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U27" s="12"/>
      <c r="V27" s="12"/>
      <c r="W27" s="12"/>
      <c r="X27" s="12"/>
    </row>
    <row r="28" spans="1:24" ht="17.100000000000001" customHeight="1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U28" s="12"/>
      <c r="V28" s="12"/>
      <c r="W28" s="12"/>
      <c r="X28" s="12"/>
    </row>
    <row r="29" spans="1:24" ht="17.100000000000001" customHeight="1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U29" s="12"/>
      <c r="V29" s="12"/>
      <c r="W29" s="12"/>
      <c r="X29" s="12"/>
    </row>
    <row r="30" spans="1:24" ht="17.100000000000001" customHeight="1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U30" s="12"/>
      <c r="V30" s="12"/>
      <c r="W30" s="12"/>
      <c r="X30" s="12"/>
    </row>
    <row r="31" spans="1:24" ht="17.100000000000001" customHeight="1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U31" s="12"/>
      <c r="V31" s="12"/>
      <c r="W31" s="12"/>
      <c r="X31" s="12"/>
    </row>
    <row r="32" spans="1:24" ht="17.100000000000001" customHeight="1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U32" s="12"/>
      <c r="V32" s="12"/>
      <c r="W32" s="12"/>
      <c r="X32" s="12"/>
    </row>
    <row r="33" spans="1:24" ht="17.100000000000001" customHeight="1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U33" s="12"/>
      <c r="V33" s="12"/>
      <c r="W33" s="12"/>
      <c r="X33" s="12"/>
    </row>
    <row r="34" spans="1:24" ht="17.100000000000001" customHeight="1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U34" s="12"/>
      <c r="V34" s="12"/>
      <c r="W34" s="12"/>
      <c r="X34" s="12"/>
    </row>
    <row r="35" spans="1:24" ht="17.100000000000001" customHeight="1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U35" s="12"/>
      <c r="V35" s="12"/>
      <c r="W35" s="12"/>
      <c r="X35" s="12"/>
    </row>
    <row r="36" spans="1:24" ht="17.100000000000001" customHeight="1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U36" s="12"/>
      <c r="V36" s="12"/>
      <c r="W36" s="12"/>
      <c r="X36" s="12"/>
    </row>
    <row r="37" spans="1:24" ht="17.100000000000001" customHeight="1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U37" s="12"/>
      <c r="V37" s="12"/>
      <c r="W37" s="12"/>
      <c r="X37" s="12"/>
    </row>
    <row r="38" spans="1:24" ht="17.100000000000001" customHeight="1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U38" s="12"/>
      <c r="V38" s="12"/>
      <c r="W38" s="12"/>
      <c r="X38" s="12"/>
    </row>
    <row r="39" spans="1:24" ht="17.100000000000001" customHeight="1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U39" s="12"/>
      <c r="V39" s="12"/>
      <c r="W39" s="12"/>
      <c r="X39" s="12"/>
    </row>
    <row r="40" spans="1:24" ht="17.100000000000001" customHeight="1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U40" s="12"/>
      <c r="V40" s="12"/>
      <c r="W40" s="12"/>
      <c r="X40" s="12"/>
    </row>
    <row r="41" spans="1:24" ht="17.100000000000001" customHeight="1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U41" s="12"/>
      <c r="V41" s="12"/>
      <c r="W41" s="12"/>
      <c r="X41" s="12"/>
    </row>
    <row r="42" spans="1:24" ht="17.100000000000001" customHeight="1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U42" s="12"/>
      <c r="V42" s="12"/>
      <c r="W42" s="12"/>
      <c r="X42" s="12"/>
    </row>
    <row r="43" spans="1:24" ht="17.100000000000001" customHeight="1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U43" s="12"/>
      <c r="V43" s="12"/>
      <c r="W43" s="12"/>
      <c r="X43" s="12"/>
    </row>
    <row r="44" spans="1:24" ht="17.100000000000001" customHeight="1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U44" s="12"/>
      <c r="V44" s="12"/>
      <c r="W44" s="12"/>
      <c r="X44" s="12"/>
    </row>
    <row r="45" spans="1:24" ht="17.100000000000001" customHeight="1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U45" s="12"/>
      <c r="V45" s="12"/>
      <c r="W45" s="12"/>
      <c r="X45" s="12"/>
    </row>
    <row r="46" spans="1:24" ht="17.100000000000001" customHeight="1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U46" s="12"/>
      <c r="V46" s="12"/>
      <c r="W46" s="12"/>
      <c r="X46" s="12"/>
    </row>
    <row r="47" spans="1:24" ht="17.100000000000001" customHeight="1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U47" s="12"/>
      <c r="V47" s="12"/>
      <c r="W47" s="12"/>
      <c r="X47" s="12"/>
    </row>
    <row r="48" spans="1:24" ht="17.100000000000001" customHeight="1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U48" s="12"/>
      <c r="V48" s="12"/>
      <c r="W48" s="12"/>
      <c r="X48" s="12"/>
    </row>
    <row r="49" spans="1:24" ht="17.100000000000001" customHeight="1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U49" s="12"/>
      <c r="V49" s="12"/>
      <c r="W49" s="12"/>
      <c r="X49" s="12"/>
    </row>
    <row r="50" spans="1:24" ht="17.100000000000001" customHeight="1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U50" s="12"/>
      <c r="V50" s="12"/>
      <c r="W50" s="12"/>
      <c r="X50" s="12"/>
    </row>
    <row r="51" spans="1:24" ht="17.100000000000001" customHeight="1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U51" s="12"/>
      <c r="V51" s="12"/>
      <c r="W51" s="12"/>
      <c r="X51" s="12"/>
    </row>
    <row r="52" spans="1:24" ht="17.100000000000001" customHeight="1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U52" s="12"/>
      <c r="V52" s="12"/>
      <c r="W52" s="12"/>
      <c r="X52" s="12"/>
    </row>
    <row r="53" spans="1:24" ht="17.100000000000001" customHeight="1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U53" s="12"/>
      <c r="V53" s="12"/>
      <c r="W53" s="12"/>
      <c r="X53" s="12"/>
    </row>
    <row r="54" spans="1:24" ht="17.100000000000001" customHeight="1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U54" s="12"/>
      <c r="V54" s="12"/>
      <c r="W54" s="12"/>
      <c r="X54" s="12"/>
    </row>
    <row r="55" spans="1:24" ht="17.100000000000001" customHeight="1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U55" s="12"/>
      <c r="V55" s="12"/>
      <c r="W55" s="12"/>
      <c r="X55" s="12"/>
    </row>
    <row r="56" spans="1:24" ht="17.100000000000001" customHeight="1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U56" s="12"/>
      <c r="V56" s="12"/>
      <c r="W56" s="12"/>
      <c r="X56" s="12"/>
    </row>
    <row r="57" spans="1:24" ht="17.100000000000001" customHeight="1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U57" s="12"/>
      <c r="V57" s="12"/>
      <c r="W57" s="12"/>
      <c r="X57" s="12"/>
    </row>
    <row r="58" spans="1:24" ht="17.100000000000001" customHeight="1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U58" s="12"/>
      <c r="V58" s="12"/>
      <c r="W58" s="12"/>
      <c r="X58" s="12"/>
    </row>
    <row r="59" spans="1:24" ht="17.100000000000001" customHeight="1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U59" s="12"/>
      <c r="V59" s="12"/>
      <c r="W59" s="12"/>
      <c r="X59" s="12"/>
    </row>
    <row r="60" spans="1:24" ht="17.100000000000001" customHeight="1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U60" s="12"/>
      <c r="V60" s="12"/>
      <c r="W60" s="12"/>
      <c r="X60" s="12"/>
    </row>
    <row r="61" spans="1:24" ht="17.100000000000001" customHeight="1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U61" s="12"/>
      <c r="V61" s="12"/>
      <c r="W61" s="12"/>
      <c r="X61" s="12"/>
    </row>
    <row r="62" spans="1:24" ht="17.100000000000001" customHeight="1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U62" s="12"/>
      <c r="V62" s="12"/>
      <c r="W62" s="12"/>
      <c r="X62" s="12"/>
    </row>
    <row r="63" spans="1:24" ht="17.100000000000001" customHeight="1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U63" s="12"/>
      <c r="V63" s="12"/>
      <c r="W63" s="12"/>
      <c r="X63" s="12"/>
    </row>
    <row r="64" spans="1:24" ht="17.100000000000001" customHeight="1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U64" s="12"/>
      <c r="V64" s="12"/>
      <c r="W64" s="12"/>
      <c r="X64" s="12"/>
    </row>
    <row r="65" spans="1:24" ht="17.100000000000001" customHeight="1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U65" s="12"/>
      <c r="V65" s="12"/>
      <c r="W65" s="12"/>
      <c r="X65" s="12"/>
    </row>
    <row r="66" spans="1:24" ht="17.100000000000001" customHeight="1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U66" s="12"/>
      <c r="V66" s="12"/>
      <c r="W66" s="12"/>
      <c r="X66" s="12"/>
    </row>
    <row r="67" spans="1:24" ht="17.100000000000001" customHeight="1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U67" s="12"/>
      <c r="V67" s="12"/>
      <c r="W67" s="12"/>
      <c r="X67" s="12"/>
    </row>
    <row r="68" spans="1:24" ht="17.100000000000001" customHeight="1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U68" s="12"/>
      <c r="V68" s="12"/>
      <c r="W68" s="12"/>
      <c r="X68" s="12"/>
    </row>
    <row r="69" spans="1:24" ht="17.100000000000001" customHeight="1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U69" s="12"/>
      <c r="V69" s="12"/>
      <c r="W69" s="12"/>
      <c r="X69" s="12"/>
    </row>
    <row r="70" spans="1:24" ht="17.100000000000001" customHeight="1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U70" s="12"/>
      <c r="V70" s="12"/>
      <c r="W70" s="12"/>
      <c r="X70" s="12"/>
    </row>
    <row r="71" spans="1:24" ht="17.100000000000001" customHeight="1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U71" s="12"/>
      <c r="V71" s="12"/>
      <c r="W71" s="12"/>
      <c r="X71" s="12"/>
    </row>
    <row r="72" spans="1:24" ht="17.100000000000001" customHeight="1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U72" s="12"/>
      <c r="V72" s="12"/>
      <c r="W72" s="12"/>
      <c r="X72" s="12"/>
    </row>
    <row r="73" spans="1:24" ht="17.100000000000001" customHeight="1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U73" s="12"/>
      <c r="V73" s="12"/>
      <c r="W73" s="12"/>
      <c r="X73" s="12"/>
    </row>
    <row r="74" spans="1:24" ht="17.100000000000001" customHeight="1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U74" s="12"/>
      <c r="V74" s="12"/>
      <c r="W74" s="12"/>
      <c r="X74" s="12"/>
    </row>
    <row r="75" spans="1:24" ht="17.100000000000001" customHeight="1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U75" s="12"/>
      <c r="V75" s="12"/>
      <c r="W75" s="12"/>
      <c r="X75" s="12"/>
    </row>
    <row r="76" spans="1:24" ht="17.100000000000001" customHeight="1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U76" s="12"/>
      <c r="V76" s="12"/>
      <c r="W76" s="12"/>
      <c r="X76" s="12"/>
    </row>
    <row r="77" spans="1:24" ht="17.100000000000001" customHeight="1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U77" s="12"/>
      <c r="V77" s="12"/>
      <c r="W77" s="12"/>
      <c r="X77" s="12"/>
    </row>
    <row r="78" spans="1:24" ht="17.100000000000001" customHeight="1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U78" s="12"/>
      <c r="V78" s="12"/>
      <c r="W78" s="12"/>
      <c r="X78" s="12"/>
    </row>
    <row r="79" spans="1:24" ht="17.100000000000001" customHeight="1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U79" s="12"/>
      <c r="V79" s="12"/>
      <c r="W79" s="12"/>
      <c r="X79" s="12"/>
    </row>
    <row r="80" spans="1:24" ht="17.100000000000001" customHeight="1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U80" s="12"/>
      <c r="V80" s="12"/>
      <c r="W80" s="12"/>
      <c r="X80" s="12"/>
    </row>
    <row r="81" spans="1:24" ht="17.100000000000001" customHeight="1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U81" s="12"/>
      <c r="V81" s="12"/>
      <c r="W81" s="12"/>
      <c r="X81" s="12"/>
    </row>
    <row r="82" spans="1:24" ht="17.100000000000001" customHeight="1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U82" s="12"/>
      <c r="V82" s="12"/>
      <c r="W82" s="12"/>
      <c r="X82" s="12"/>
    </row>
    <row r="83" spans="1:24" ht="17.100000000000001" customHeight="1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U83" s="12"/>
      <c r="V83" s="12"/>
      <c r="W83" s="12"/>
      <c r="X83" s="12"/>
    </row>
    <row r="84" spans="1:24" ht="17.100000000000001" customHeight="1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U84" s="12"/>
      <c r="V84" s="12"/>
      <c r="W84" s="12"/>
      <c r="X84" s="12"/>
    </row>
    <row r="85" spans="1:24" ht="17.100000000000001" customHeight="1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U85" s="12"/>
      <c r="V85" s="12"/>
      <c r="W85" s="12"/>
      <c r="X85" s="12"/>
    </row>
    <row r="86" spans="1:24" ht="17.100000000000001" customHeight="1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U86" s="12"/>
      <c r="V86" s="12"/>
      <c r="W86" s="12"/>
      <c r="X86" s="12"/>
    </row>
    <row r="87" spans="1:24" ht="17.100000000000001" customHeight="1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U87" s="12"/>
      <c r="V87" s="12"/>
      <c r="W87" s="12"/>
      <c r="X87" s="12"/>
    </row>
    <row r="88" spans="1:24" ht="17.100000000000001" customHeight="1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U88" s="12"/>
      <c r="V88" s="12"/>
      <c r="W88" s="12"/>
      <c r="X88" s="12"/>
    </row>
    <row r="89" spans="1:24" ht="17.100000000000001" customHeight="1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U89" s="12"/>
      <c r="V89" s="12"/>
      <c r="W89" s="12"/>
      <c r="X89" s="12"/>
    </row>
    <row r="90" spans="1:24" ht="17.100000000000001" customHeight="1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U90" s="12"/>
      <c r="V90" s="12"/>
      <c r="W90" s="12"/>
      <c r="X90" s="12"/>
    </row>
    <row r="91" spans="1:24" ht="17.100000000000001" customHeight="1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U91" s="12"/>
      <c r="V91" s="12"/>
      <c r="W91" s="12"/>
      <c r="X91" s="12"/>
    </row>
    <row r="92" spans="1:24" ht="17.100000000000001" customHeight="1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U92" s="12"/>
      <c r="V92" s="12"/>
      <c r="W92" s="12"/>
      <c r="X92" s="12"/>
    </row>
    <row r="93" spans="1:24" ht="17.100000000000001" customHeight="1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U93" s="12"/>
      <c r="V93" s="12"/>
      <c r="W93" s="12"/>
      <c r="X93" s="12"/>
    </row>
    <row r="94" spans="1:24" ht="17.100000000000001" customHeight="1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U94" s="12"/>
      <c r="V94" s="12"/>
      <c r="W94" s="12"/>
      <c r="X94" s="12"/>
    </row>
    <row r="95" spans="1:24" ht="17.100000000000001" customHeight="1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U95" s="12"/>
      <c r="V95" s="12"/>
      <c r="W95" s="12"/>
      <c r="X95" s="12"/>
    </row>
    <row r="96" spans="1:24" ht="17.100000000000001" customHeight="1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U96" s="12"/>
      <c r="V96" s="12"/>
      <c r="W96" s="12"/>
      <c r="X96" s="12"/>
    </row>
    <row r="97" spans="1:24" ht="17.100000000000001" customHeight="1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U97" s="12"/>
      <c r="V97" s="12"/>
      <c r="W97" s="12"/>
      <c r="X97" s="12"/>
    </row>
    <row r="98" spans="1:24" ht="17.100000000000001" customHeight="1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U98" s="12"/>
      <c r="V98" s="12"/>
      <c r="W98" s="12"/>
      <c r="X98" s="12"/>
    </row>
    <row r="99" spans="1:24" ht="17.100000000000001" customHeight="1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U99" s="12"/>
      <c r="V99" s="12"/>
      <c r="W99" s="12"/>
      <c r="X99" s="12"/>
    </row>
    <row r="100" spans="1:24" ht="17.100000000000001" customHeight="1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U100" s="12"/>
      <c r="V100" s="12"/>
      <c r="W100" s="12"/>
      <c r="X100" s="12"/>
    </row>
    <row r="101" spans="1:24" ht="17.100000000000001" customHeight="1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U101" s="12"/>
      <c r="V101" s="12"/>
      <c r="W101" s="12"/>
      <c r="X101" s="12"/>
    </row>
    <row r="102" spans="1:24" ht="17.100000000000001" customHeight="1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U102" s="12"/>
      <c r="V102" s="12"/>
      <c r="W102" s="12"/>
      <c r="X102" s="12"/>
    </row>
    <row r="103" spans="1:24" ht="17.100000000000001" customHeight="1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U103" s="12"/>
      <c r="V103" s="12"/>
      <c r="W103" s="12"/>
      <c r="X103" s="12"/>
    </row>
    <row r="104" spans="1:24" ht="17.100000000000001" customHeight="1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U104" s="12"/>
      <c r="V104" s="12"/>
      <c r="W104" s="12"/>
      <c r="X104" s="12"/>
    </row>
    <row r="105" spans="1:24" ht="17.100000000000001" customHeight="1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U105" s="12"/>
      <c r="V105" s="12"/>
      <c r="W105" s="12"/>
      <c r="X105" s="12"/>
    </row>
    <row r="106" spans="1:24" ht="17.100000000000001" customHeight="1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U106" s="12"/>
      <c r="V106" s="12"/>
      <c r="W106" s="12"/>
      <c r="X106" s="12"/>
    </row>
    <row r="107" spans="1:24" ht="17.100000000000001" customHeight="1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U107" s="12"/>
      <c r="V107" s="12"/>
      <c r="W107" s="12"/>
      <c r="X107" s="12"/>
    </row>
    <row r="108" spans="1:24" ht="17.100000000000001" customHeight="1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U108" s="12"/>
      <c r="V108" s="12"/>
      <c r="W108" s="12"/>
      <c r="X108" s="12"/>
    </row>
    <row r="109" spans="1:24" ht="17.100000000000001" customHeight="1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U109" s="12"/>
      <c r="V109" s="12"/>
      <c r="W109" s="12"/>
      <c r="X109" s="12"/>
    </row>
    <row r="110" spans="1:24" ht="17.100000000000001" customHeight="1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U110" s="12"/>
      <c r="V110" s="12"/>
      <c r="W110" s="12"/>
      <c r="X110" s="12"/>
    </row>
    <row r="111" spans="1:24" ht="17.100000000000001" customHeight="1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U111" s="12"/>
      <c r="V111" s="12"/>
      <c r="W111" s="12"/>
      <c r="X111" s="12"/>
    </row>
    <row r="112" spans="1:24" ht="17.100000000000001" customHeight="1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U112" s="12"/>
      <c r="V112" s="12"/>
      <c r="W112" s="12"/>
      <c r="X112" s="12"/>
    </row>
    <row r="113" spans="1:24" ht="17.100000000000001" customHeight="1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U113" s="12"/>
      <c r="V113" s="12"/>
      <c r="W113" s="12"/>
      <c r="X113" s="12"/>
    </row>
    <row r="114" spans="1:24" ht="17.100000000000001" customHeight="1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U114" s="12"/>
      <c r="V114" s="12"/>
      <c r="W114" s="12"/>
      <c r="X114" s="12"/>
    </row>
    <row r="115" spans="1:24" ht="17.100000000000001" customHeight="1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U115" s="12"/>
      <c r="V115" s="12"/>
      <c r="W115" s="12"/>
      <c r="X115" s="12"/>
    </row>
    <row r="116" spans="1:24" ht="17.100000000000001" customHeight="1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U116" s="12"/>
      <c r="V116" s="12"/>
      <c r="W116" s="12"/>
      <c r="X116" s="12"/>
    </row>
    <row r="117" spans="1:24" ht="17.100000000000001" customHeight="1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U117" s="12"/>
      <c r="V117" s="12"/>
      <c r="W117" s="12"/>
      <c r="X117" s="12"/>
    </row>
    <row r="118" spans="1:24" ht="17.100000000000001" customHeight="1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U118" s="12"/>
      <c r="V118" s="12"/>
      <c r="W118" s="12"/>
      <c r="X118" s="12"/>
    </row>
    <row r="119" spans="1:24" ht="17.100000000000001" customHeight="1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U119" s="12"/>
      <c r="V119" s="12"/>
      <c r="W119" s="12"/>
      <c r="X119" s="12"/>
    </row>
    <row r="120" spans="1:24" ht="17.100000000000001" customHeight="1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U120" s="12"/>
      <c r="V120" s="12"/>
      <c r="W120" s="12"/>
      <c r="X120" s="12"/>
    </row>
    <row r="121" spans="1:24" ht="17.100000000000001" customHeight="1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U121" s="12"/>
      <c r="V121" s="12"/>
      <c r="W121" s="12"/>
      <c r="X121" s="12"/>
    </row>
    <row r="122" spans="1:24" ht="17.100000000000001" customHeight="1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U122" s="12"/>
      <c r="V122" s="12"/>
      <c r="W122" s="12"/>
      <c r="X122" s="12"/>
    </row>
    <row r="123" spans="1:24" ht="17.100000000000001" customHeight="1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U123" s="12"/>
      <c r="V123" s="12"/>
      <c r="W123" s="12"/>
      <c r="X123" s="12"/>
    </row>
    <row r="124" spans="1:24" ht="17.100000000000001" customHeight="1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U124" s="12"/>
      <c r="V124" s="12"/>
      <c r="W124" s="12"/>
      <c r="X124" s="12"/>
    </row>
    <row r="125" spans="1:24" ht="17.100000000000001" customHeight="1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U125" s="12"/>
      <c r="V125" s="12"/>
      <c r="W125" s="12"/>
      <c r="X125" s="12"/>
    </row>
    <row r="126" spans="1:24" ht="17.100000000000001" customHeight="1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U126" s="12"/>
      <c r="V126" s="12"/>
      <c r="W126" s="12"/>
      <c r="X126" s="12"/>
    </row>
    <row r="127" spans="1:24" ht="17.100000000000001" customHeight="1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U127" s="12"/>
      <c r="V127" s="12"/>
      <c r="W127" s="12"/>
      <c r="X127" s="12"/>
    </row>
    <row r="128" spans="1:24" ht="17.100000000000001" customHeight="1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U128" s="12"/>
      <c r="V128" s="12"/>
      <c r="W128" s="12"/>
      <c r="X128" s="12"/>
    </row>
    <row r="129" spans="1:24" ht="17.100000000000001" customHeight="1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U129" s="12"/>
      <c r="V129" s="12"/>
      <c r="W129" s="12"/>
      <c r="X129" s="12"/>
    </row>
    <row r="130" spans="1:24" ht="17.100000000000001" customHeight="1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U130" s="12"/>
      <c r="V130" s="12"/>
      <c r="W130" s="12"/>
      <c r="X130" s="12"/>
    </row>
    <row r="131" spans="1:24" ht="17.100000000000001" customHeight="1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U131" s="12"/>
      <c r="V131" s="12"/>
      <c r="W131" s="12"/>
      <c r="X131" s="12"/>
    </row>
    <row r="132" spans="1:24" ht="17.100000000000001" customHeight="1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U132" s="12"/>
      <c r="V132" s="12"/>
      <c r="W132" s="12"/>
      <c r="X132" s="12"/>
    </row>
    <row r="133" spans="1:24" ht="17.100000000000001" customHeight="1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U133" s="12"/>
      <c r="V133" s="12"/>
      <c r="W133" s="12"/>
      <c r="X133" s="12"/>
    </row>
    <row r="134" spans="1:24" ht="17.100000000000001" customHeight="1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U134" s="12"/>
      <c r="V134" s="12"/>
      <c r="W134" s="12"/>
      <c r="X134" s="12"/>
    </row>
    <row r="135" spans="1:24" ht="17.100000000000001" customHeight="1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U135" s="12"/>
      <c r="V135" s="12"/>
      <c r="W135" s="12"/>
      <c r="X135" s="12"/>
    </row>
    <row r="136" spans="1:24" ht="17.100000000000001" customHeight="1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U136" s="12"/>
      <c r="V136" s="12"/>
      <c r="W136" s="12"/>
      <c r="X136" s="12"/>
    </row>
    <row r="137" spans="1:24" ht="17.100000000000001" customHeight="1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U137" s="12"/>
      <c r="V137" s="12"/>
      <c r="W137" s="12"/>
      <c r="X137" s="12"/>
    </row>
    <row r="138" spans="1:24" ht="17.100000000000001" customHeight="1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U138" s="12"/>
      <c r="V138" s="12"/>
      <c r="W138" s="12"/>
      <c r="X138" s="12"/>
    </row>
    <row r="139" spans="1:24" ht="17.100000000000001" customHeight="1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U139" s="12"/>
      <c r="V139" s="12"/>
      <c r="W139" s="12"/>
      <c r="X139" s="12"/>
    </row>
    <row r="140" spans="1:24" ht="17.100000000000001" customHeight="1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U140" s="12"/>
      <c r="V140" s="12"/>
      <c r="W140" s="12"/>
      <c r="X140" s="12"/>
    </row>
    <row r="141" spans="1:24" ht="17.100000000000001" customHeight="1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U141" s="12"/>
      <c r="V141" s="12"/>
      <c r="W141" s="12"/>
      <c r="X141" s="12"/>
    </row>
    <row r="142" spans="1:24" ht="17.100000000000001" customHeight="1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U142" s="12"/>
      <c r="V142" s="12"/>
      <c r="W142" s="12"/>
      <c r="X142" s="12"/>
    </row>
    <row r="143" spans="1:24" ht="17.100000000000001" customHeight="1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U143" s="12"/>
      <c r="V143" s="12"/>
      <c r="W143" s="12"/>
      <c r="X143" s="12"/>
    </row>
    <row r="144" spans="1:24" ht="17.100000000000001" customHeight="1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U144" s="12"/>
      <c r="V144" s="12"/>
      <c r="W144" s="12"/>
      <c r="X144" s="12"/>
    </row>
    <row r="145" spans="1:24" ht="17.100000000000001" customHeight="1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U145" s="12"/>
      <c r="V145" s="12"/>
      <c r="W145" s="12"/>
      <c r="X145" s="12"/>
    </row>
    <row r="146" spans="1:24" ht="17.100000000000001" customHeight="1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U146" s="12"/>
      <c r="V146" s="12"/>
      <c r="W146" s="12"/>
      <c r="X146" s="12"/>
    </row>
    <row r="147" spans="1:24" ht="17.100000000000001" customHeight="1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U147" s="12"/>
      <c r="V147" s="12"/>
      <c r="W147" s="12"/>
      <c r="X147" s="12"/>
    </row>
    <row r="148" spans="1:24" ht="17.100000000000001" customHeight="1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U148" s="12"/>
      <c r="V148" s="12"/>
      <c r="W148" s="12"/>
      <c r="X148" s="12"/>
    </row>
    <row r="149" spans="1:24" ht="17.100000000000001" customHeight="1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U149" s="12"/>
      <c r="V149" s="12"/>
      <c r="W149" s="12"/>
      <c r="X149" s="12"/>
    </row>
    <row r="150" spans="1:24" ht="17.100000000000001" customHeight="1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U150" s="12"/>
      <c r="V150" s="12"/>
      <c r="W150" s="12"/>
      <c r="X150" s="12"/>
    </row>
    <row r="151" spans="1:24" ht="17.100000000000001" customHeight="1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U151" s="12"/>
      <c r="V151" s="12"/>
      <c r="W151" s="12"/>
      <c r="X151" s="12"/>
    </row>
    <row r="152" spans="1:24" ht="17.100000000000001" customHeight="1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U152" s="12"/>
      <c r="V152" s="12"/>
      <c r="W152" s="12"/>
      <c r="X152" s="12"/>
    </row>
    <row r="153" spans="1:24" ht="17.100000000000001" customHeight="1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U153" s="12"/>
      <c r="V153" s="12"/>
      <c r="W153" s="12"/>
      <c r="X153" s="12"/>
    </row>
    <row r="154" spans="1:24" ht="17.100000000000001" customHeight="1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U154" s="12"/>
      <c r="V154" s="12"/>
      <c r="W154" s="12"/>
      <c r="X154" s="12"/>
    </row>
    <row r="155" spans="1:24" ht="17.100000000000001" customHeight="1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U155" s="12"/>
      <c r="V155" s="12"/>
      <c r="W155" s="12"/>
      <c r="X155" s="12"/>
    </row>
    <row r="156" spans="1:24" ht="17.100000000000001" customHeight="1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U156" s="12"/>
      <c r="V156" s="12"/>
      <c r="W156" s="12"/>
      <c r="X156" s="12"/>
    </row>
    <row r="157" spans="1:24" ht="17.100000000000001" customHeight="1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U157" s="12"/>
      <c r="V157" s="12"/>
      <c r="W157" s="12"/>
      <c r="X157" s="12"/>
    </row>
    <row r="158" spans="1:24" ht="17.100000000000001" customHeight="1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U158" s="12"/>
      <c r="V158" s="12"/>
      <c r="W158" s="12"/>
      <c r="X158" s="12"/>
    </row>
    <row r="159" spans="1:24" ht="17.100000000000001" customHeight="1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U159" s="12"/>
      <c r="V159" s="12"/>
      <c r="W159" s="12"/>
      <c r="X159" s="12"/>
    </row>
    <row r="160" spans="1:24" ht="17.100000000000001" customHeight="1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U160" s="12"/>
      <c r="V160" s="12"/>
      <c r="W160" s="12"/>
      <c r="X160" s="12"/>
    </row>
    <row r="161" spans="1:24" ht="17.100000000000001" customHeight="1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U161" s="12"/>
      <c r="V161" s="12"/>
      <c r="W161" s="12"/>
      <c r="X161" s="12"/>
    </row>
    <row r="162" spans="1:24" ht="17.100000000000001" customHeight="1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U162" s="12"/>
      <c r="V162" s="12"/>
      <c r="W162" s="12"/>
      <c r="X162" s="12"/>
    </row>
    <row r="163" spans="1:24" ht="17.100000000000001" customHeight="1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U163" s="12"/>
      <c r="V163" s="12"/>
      <c r="W163" s="12"/>
      <c r="X163" s="12"/>
    </row>
    <row r="164" spans="1:24" ht="17.100000000000001" customHeight="1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U164" s="12"/>
      <c r="V164" s="12"/>
      <c r="W164" s="12"/>
      <c r="X164" s="12"/>
    </row>
    <row r="165" spans="1:24" ht="17.100000000000001" customHeight="1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U165" s="12"/>
      <c r="V165" s="12"/>
      <c r="W165" s="12"/>
      <c r="X165" s="12"/>
    </row>
    <row r="166" spans="1:24" ht="17.100000000000001" customHeight="1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U166" s="12"/>
      <c r="V166" s="12"/>
      <c r="W166" s="12"/>
      <c r="X166" s="12"/>
    </row>
    <row r="167" spans="1:24" ht="17.100000000000001" customHeight="1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U167" s="12"/>
      <c r="V167" s="12"/>
      <c r="W167" s="12"/>
      <c r="X167" s="12"/>
    </row>
    <row r="168" spans="1:24" ht="17.100000000000001" customHeight="1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U168" s="12"/>
      <c r="V168" s="12"/>
      <c r="W168" s="12"/>
      <c r="X168" s="12"/>
    </row>
    <row r="169" spans="1:24" ht="17.100000000000001" customHeight="1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U169" s="12"/>
      <c r="V169" s="12"/>
      <c r="W169" s="12"/>
      <c r="X169" s="12"/>
    </row>
    <row r="170" spans="1:24" ht="17.100000000000001" customHeight="1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U170" s="12"/>
      <c r="V170" s="12"/>
      <c r="W170" s="12"/>
      <c r="X170" s="12"/>
    </row>
    <row r="171" spans="1:24" ht="17.100000000000001" customHeight="1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U171" s="12"/>
      <c r="V171" s="12"/>
      <c r="W171" s="12"/>
      <c r="X171" s="12"/>
    </row>
    <row r="172" spans="1:24" ht="17.100000000000001" customHeight="1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U172" s="12"/>
      <c r="V172" s="12"/>
      <c r="W172" s="12"/>
      <c r="X172" s="12"/>
    </row>
    <row r="173" spans="1:24" ht="17.100000000000001" customHeight="1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U173" s="12"/>
      <c r="V173" s="12"/>
      <c r="W173" s="12"/>
      <c r="X173" s="12"/>
    </row>
    <row r="174" spans="1:24" ht="17.100000000000001" customHeight="1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U174" s="12"/>
      <c r="V174" s="12"/>
      <c r="W174" s="12"/>
      <c r="X174" s="12"/>
    </row>
    <row r="175" spans="1:24" ht="17.100000000000001" customHeight="1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U175" s="12"/>
      <c r="V175" s="12"/>
      <c r="W175" s="12"/>
      <c r="X175" s="12"/>
    </row>
    <row r="176" spans="1:24" ht="17.100000000000001" customHeight="1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U176" s="12"/>
      <c r="V176" s="12"/>
      <c r="W176" s="12"/>
      <c r="X176" s="12"/>
    </row>
    <row r="177" spans="1:24" ht="17.100000000000001" customHeight="1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U177" s="12"/>
      <c r="V177" s="12"/>
      <c r="W177" s="12"/>
      <c r="X177" s="12"/>
    </row>
    <row r="178" spans="1:24" ht="17.100000000000001" customHeight="1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U178" s="12"/>
      <c r="V178" s="12"/>
      <c r="W178" s="12"/>
      <c r="X178" s="12"/>
    </row>
    <row r="179" spans="1:24" ht="17.100000000000001" customHeight="1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U179" s="12"/>
      <c r="V179" s="12"/>
      <c r="W179" s="12"/>
      <c r="X179" s="12"/>
    </row>
    <row r="180" spans="1:24" ht="17.100000000000001" customHeight="1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U180" s="12"/>
      <c r="V180" s="12"/>
      <c r="W180" s="12"/>
      <c r="X180" s="12"/>
    </row>
    <row r="181" spans="1:24" ht="17.100000000000001" customHeight="1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U181" s="12"/>
      <c r="V181" s="12"/>
      <c r="W181" s="12"/>
      <c r="X181" s="12"/>
    </row>
    <row r="182" spans="1:24" ht="17.100000000000001" customHeight="1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U182" s="12"/>
      <c r="V182" s="12"/>
      <c r="W182" s="12"/>
      <c r="X182" s="12"/>
    </row>
    <row r="183" spans="1:24" ht="17.100000000000001" customHeight="1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U183" s="12"/>
      <c r="V183" s="12"/>
      <c r="W183" s="12"/>
      <c r="X183" s="12"/>
    </row>
    <row r="184" spans="1:24" ht="17.100000000000001" customHeight="1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U184" s="12"/>
      <c r="V184" s="12"/>
      <c r="W184" s="12"/>
      <c r="X184" s="12"/>
    </row>
    <row r="185" spans="1:24" ht="17.100000000000001" customHeight="1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U185" s="12"/>
      <c r="V185" s="12"/>
      <c r="W185" s="12"/>
      <c r="X185" s="12"/>
    </row>
    <row r="186" spans="1:24" ht="17.100000000000001" customHeight="1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U186" s="12"/>
      <c r="V186" s="12"/>
      <c r="W186" s="12"/>
      <c r="X186" s="12"/>
    </row>
    <row r="187" spans="1:24" ht="17.100000000000001" customHeight="1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U187" s="12"/>
      <c r="V187" s="12"/>
      <c r="W187" s="12"/>
      <c r="X187" s="12"/>
    </row>
    <row r="188" spans="1:24" ht="17.100000000000001" customHeight="1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U188" s="12"/>
      <c r="V188" s="12"/>
      <c r="W188" s="12"/>
      <c r="X188" s="12"/>
    </row>
    <row r="189" spans="1:24" ht="17.100000000000001" customHeight="1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U189" s="12"/>
      <c r="V189" s="12"/>
      <c r="W189" s="12"/>
      <c r="X189" s="12"/>
    </row>
    <row r="190" spans="1:24" ht="17.100000000000001" customHeight="1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U190" s="12"/>
      <c r="V190" s="12"/>
      <c r="W190" s="12"/>
      <c r="X190" s="12"/>
    </row>
    <row r="191" spans="1:24" ht="17.100000000000001" customHeight="1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U191" s="12"/>
      <c r="V191" s="12"/>
      <c r="W191" s="12"/>
      <c r="X191" s="12"/>
    </row>
    <row r="192" spans="1:24" ht="17.100000000000001" customHeight="1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U192" s="12"/>
      <c r="V192" s="12"/>
      <c r="W192" s="12"/>
      <c r="X192" s="12"/>
    </row>
    <row r="193" spans="1:24" ht="17.100000000000001" customHeight="1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U193" s="12"/>
      <c r="V193" s="12"/>
      <c r="W193" s="12"/>
      <c r="X193" s="12"/>
    </row>
    <row r="194" spans="1:24" ht="17.100000000000001" customHeight="1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U194" s="12"/>
      <c r="V194" s="12"/>
      <c r="W194" s="12"/>
      <c r="X194" s="12"/>
    </row>
    <row r="195" spans="1:24" ht="17.100000000000001" customHeight="1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U195" s="12"/>
      <c r="V195" s="12"/>
      <c r="W195" s="12"/>
      <c r="X195" s="12"/>
    </row>
    <row r="196" spans="1:24" ht="17.100000000000001" customHeight="1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U196" s="12"/>
      <c r="V196" s="12"/>
      <c r="W196" s="12"/>
      <c r="X196" s="12"/>
    </row>
    <row r="197" spans="1:24" ht="17.100000000000001" customHeight="1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U197" s="12"/>
      <c r="V197" s="12"/>
      <c r="W197" s="12"/>
      <c r="X197" s="12"/>
    </row>
    <row r="198" spans="1:24" ht="17.100000000000001" customHeight="1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U198" s="12"/>
      <c r="V198" s="12"/>
      <c r="W198" s="12"/>
      <c r="X198" s="12"/>
    </row>
    <row r="199" spans="1:24" ht="17.100000000000001" customHeight="1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U199" s="12"/>
      <c r="V199" s="12"/>
      <c r="W199" s="12"/>
      <c r="X199" s="12"/>
    </row>
    <row r="200" spans="1:24" ht="17.100000000000001" customHeight="1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U200" s="12"/>
      <c r="V200" s="12"/>
      <c r="W200" s="12"/>
      <c r="X200" s="12"/>
    </row>
    <row r="201" spans="1:24" ht="17.100000000000001" customHeight="1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U201" s="12"/>
      <c r="V201" s="12"/>
      <c r="W201" s="12"/>
      <c r="X201" s="12"/>
    </row>
    <row r="202" spans="1:24" ht="17.100000000000001" customHeight="1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U202" s="12"/>
      <c r="V202" s="12"/>
      <c r="W202" s="12"/>
      <c r="X202" s="12"/>
    </row>
    <row r="203" spans="1:24" ht="17.100000000000001" customHeight="1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U203" s="12"/>
      <c r="V203" s="12"/>
      <c r="W203" s="12"/>
      <c r="X203" s="12"/>
    </row>
    <row r="204" spans="1:24" ht="17.100000000000001" customHeight="1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U204" s="12"/>
      <c r="V204" s="12"/>
      <c r="W204" s="12"/>
      <c r="X204" s="12"/>
    </row>
    <row r="205" spans="1:24" ht="17.100000000000001" customHeight="1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U205" s="12"/>
      <c r="V205" s="12"/>
      <c r="W205" s="12"/>
      <c r="X205" s="12"/>
    </row>
    <row r="206" spans="1:24" ht="17.100000000000001" customHeight="1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U206" s="12"/>
      <c r="V206" s="12"/>
      <c r="W206" s="12"/>
      <c r="X206" s="12"/>
    </row>
    <row r="207" spans="1:24" ht="17.100000000000001" customHeight="1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U207" s="12"/>
      <c r="V207" s="12"/>
      <c r="W207" s="12"/>
      <c r="X207" s="12"/>
    </row>
    <row r="208" spans="1:24" ht="17.100000000000001" customHeight="1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U208" s="12"/>
      <c r="V208" s="12"/>
      <c r="W208" s="12"/>
      <c r="X208" s="12"/>
    </row>
    <row r="209" spans="1:24" ht="17.100000000000001" customHeight="1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U209" s="12"/>
      <c r="V209" s="12"/>
      <c r="W209" s="12"/>
      <c r="X209" s="12"/>
    </row>
    <row r="210" spans="1:24" ht="17.100000000000001" customHeight="1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U210" s="12"/>
      <c r="V210" s="12"/>
      <c r="W210" s="12"/>
      <c r="X210" s="12"/>
    </row>
    <row r="211" spans="1:24" ht="17.100000000000001" customHeight="1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U211" s="12"/>
      <c r="V211" s="12"/>
      <c r="W211" s="12"/>
      <c r="X211" s="12"/>
    </row>
    <row r="212" spans="1:24" ht="17.100000000000001" customHeight="1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U212" s="12"/>
      <c r="V212" s="12"/>
      <c r="W212" s="12"/>
      <c r="X212" s="12"/>
    </row>
    <row r="213" spans="1:24" ht="17.100000000000001" customHeight="1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U213" s="12"/>
      <c r="V213" s="12"/>
      <c r="W213" s="12"/>
      <c r="X213" s="12"/>
    </row>
    <row r="214" spans="1:24" ht="17.100000000000001" customHeight="1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U214" s="12"/>
      <c r="V214" s="12"/>
      <c r="W214" s="12"/>
      <c r="X214" s="12"/>
    </row>
    <row r="215" spans="1:24" ht="17.100000000000001" customHeight="1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U215" s="12"/>
      <c r="V215" s="12"/>
      <c r="W215" s="12"/>
      <c r="X215" s="12"/>
    </row>
    <row r="216" spans="1:24" ht="17.100000000000001" customHeight="1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U216" s="12"/>
      <c r="V216" s="12"/>
      <c r="W216" s="12"/>
      <c r="X216" s="12"/>
    </row>
    <row r="217" spans="1:24" ht="17.100000000000001" customHeight="1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U217" s="12"/>
      <c r="V217" s="12"/>
      <c r="W217" s="12"/>
      <c r="X217" s="12"/>
    </row>
    <row r="218" spans="1:24" ht="17.100000000000001" customHeight="1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U218" s="12"/>
      <c r="V218" s="12"/>
      <c r="W218" s="12"/>
      <c r="X218" s="12"/>
    </row>
    <row r="219" spans="1:24" ht="17.100000000000001" customHeight="1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U219" s="12"/>
      <c r="V219" s="12"/>
      <c r="W219" s="12"/>
      <c r="X219" s="12"/>
    </row>
    <row r="220" spans="1:24" ht="17.100000000000001" customHeight="1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U220" s="12"/>
      <c r="V220" s="12"/>
      <c r="W220" s="12"/>
      <c r="X220" s="12"/>
    </row>
    <row r="221" spans="1:24" ht="17.100000000000001" customHeight="1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U221" s="12"/>
      <c r="V221" s="12"/>
      <c r="W221" s="12"/>
      <c r="X221" s="12"/>
    </row>
    <row r="222" spans="1:24" ht="17.100000000000001" customHeight="1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U222" s="12"/>
      <c r="V222" s="12"/>
      <c r="W222" s="12"/>
      <c r="X222" s="12"/>
    </row>
    <row r="223" spans="1:24" ht="17.100000000000001" customHeight="1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U223" s="12"/>
      <c r="V223" s="12"/>
      <c r="W223" s="12"/>
      <c r="X223" s="12"/>
    </row>
    <row r="224" spans="1:24" ht="17.100000000000001" customHeight="1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U224" s="12"/>
      <c r="V224" s="12"/>
      <c r="W224" s="12"/>
      <c r="X224" s="12"/>
    </row>
    <row r="225" spans="1:24" ht="17.100000000000001" customHeight="1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U225" s="12"/>
      <c r="V225" s="12"/>
      <c r="W225" s="12"/>
      <c r="X225" s="12"/>
    </row>
    <row r="226" spans="1:24" ht="17.100000000000001" customHeight="1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U226" s="12"/>
      <c r="V226" s="12"/>
      <c r="W226" s="12"/>
      <c r="X226" s="12"/>
    </row>
    <row r="227" spans="1:24" ht="17.100000000000001" customHeight="1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U227" s="12"/>
      <c r="V227" s="12"/>
      <c r="W227" s="12"/>
      <c r="X227" s="12"/>
    </row>
    <row r="228" spans="1:24" ht="17.100000000000001" customHeight="1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U228" s="12"/>
      <c r="V228" s="12"/>
      <c r="W228" s="12"/>
      <c r="X228" s="12"/>
    </row>
    <row r="229" spans="1:24" ht="17.100000000000001" customHeight="1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U229" s="12"/>
      <c r="V229" s="12"/>
      <c r="W229" s="12"/>
      <c r="X229" s="12"/>
    </row>
    <row r="230" spans="1:24" ht="17.100000000000001" customHeight="1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U230" s="12"/>
      <c r="V230" s="12"/>
      <c r="W230" s="12"/>
      <c r="X230" s="12"/>
    </row>
    <row r="231" spans="1:24" ht="17.100000000000001" customHeight="1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U231" s="12"/>
      <c r="V231" s="12"/>
      <c r="W231" s="12"/>
      <c r="X231" s="12"/>
    </row>
    <row r="232" spans="1:24" ht="17.100000000000001" customHeight="1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U232" s="12"/>
      <c r="V232" s="12"/>
      <c r="W232" s="12"/>
      <c r="X232" s="12"/>
    </row>
    <row r="233" spans="1:24" ht="17.100000000000001" customHeight="1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U233" s="12"/>
      <c r="V233" s="12"/>
      <c r="W233" s="12"/>
      <c r="X233" s="12"/>
    </row>
    <row r="234" spans="1:24" ht="17.100000000000001" customHeight="1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U234" s="12"/>
      <c r="V234" s="12"/>
      <c r="W234" s="12"/>
      <c r="X234" s="12"/>
    </row>
    <row r="235" spans="1:24" ht="17.100000000000001" customHeight="1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U235" s="12"/>
      <c r="V235" s="12"/>
      <c r="W235" s="12"/>
      <c r="X235" s="12"/>
    </row>
    <row r="236" spans="1:24" ht="17.100000000000001" customHeight="1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U236" s="12"/>
      <c r="V236" s="12"/>
      <c r="W236" s="12"/>
      <c r="X236" s="12"/>
    </row>
    <row r="237" spans="1:24" ht="17.100000000000001" customHeight="1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U237" s="12"/>
      <c r="V237" s="12"/>
      <c r="W237" s="12"/>
      <c r="X237" s="12"/>
    </row>
    <row r="238" spans="1:24" ht="17.100000000000001" customHeight="1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U238" s="12"/>
      <c r="V238" s="12"/>
      <c r="W238" s="12"/>
      <c r="X238" s="12"/>
    </row>
    <row r="239" spans="1:24" ht="17.100000000000001" customHeight="1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U239" s="12"/>
      <c r="V239" s="12"/>
      <c r="W239" s="12"/>
      <c r="X239" s="12"/>
    </row>
    <row r="240" spans="1:24" ht="17.100000000000001" customHeight="1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U240" s="12"/>
      <c r="V240" s="12"/>
      <c r="W240" s="12"/>
      <c r="X240" s="12"/>
    </row>
    <row r="241" spans="1:24" ht="17.100000000000001" customHeight="1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U241" s="12"/>
      <c r="V241" s="12"/>
      <c r="W241" s="12"/>
      <c r="X241" s="12"/>
    </row>
    <row r="242" spans="1:24" ht="17.100000000000001" customHeight="1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U242" s="12"/>
      <c r="V242" s="12"/>
      <c r="W242" s="12"/>
      <c r="X242" s="12"/>
    </row>
    <row r="243" spans="1:24" ht="17.100000000000001" customHeight="1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U243" s="12"/>
      <c r="V243" s="12"/>
      <c r="W243" s="12"/>
      <c r="X243" s="12"/>
    </row>
    <row r="244" spans="1:24" ht="17.100000000000001" customHeight="1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U244" s="12"/>
      <c r="V244" s="12"/>
      <c r="W244" s="12"/>
      <c r="X244" s="12"/>
    </row>
    <row r="245" spans="1:24" ht="17.100000000000001" customHeight="1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U245" s="12"/>
      <c r="V245" s="12"/>
      <c r="W245" s="12"/>
      <c r="X245" s="12"/>
    </row>
    <row r="246" spans="1:24" ht="17.100000000000001" customHeight="1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U246" s="12"/>
      <c r="V246" s="12"/>
      <c r="W246" s="12"/>
      <c r="X246" s="12"/>
    </row>
    <row r="247" spans="1:24" ht="17.100000000000001" customHeight="1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U247" s="12"/>
      <c r="V247" s="12"/>
      <c r="W247" s="12"/>
      <c r="X247" s="12"/>
    </row>
    <row r="248" spans="1:24" ht="17.100000000000001" customHeight="1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U248" s="12"/>
      <c r="V248" s="12"/>
      <c r="W248" s="12"/>
      <c r="X248" s="12"/>
    </row>
    <row r="249" spans="1:24" ht="17.100000000000001" customHeight="1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U249" s="12"/>
      <c r="V249" s="12"/>
      <c r="W249" s="12"/>
      <c r="X249" s="12"/>
    </row>
    <row r="250" spans="1:24" ht="17.100000000000001" customHeight="1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U250" s="12"/>
      <c r="V250" s="12"/>
      <c r="W250" s="12"/>
      <c r="X250" s="12"/>
    </row>
    <row r="251" spans="1:24" ht="17.100000000000001" customHeight="1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U251" s="12"/>
      <c r="V251" s="12"/>
      <c r="W251" s="12"/>
      <c r="X251" s="12"/>
    </row>
    <row r="252" spans="1:24" ht="17.100000000000001" customHeight="1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U252" s="12"/>
      <c r="V252" s="12"/>
      <c r="W252" s="12"/>
      <c r="X252" s="12"/>
    </row>
    <row r="253" spans="1:24" ht="17.100000000000001" customHeight="1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U253" s="12"/>
      <c r="V253" s="12"/>
      <c r="W253" s="12"/>
      <c r="X253" s="12"/>
    </row>
    <row r="254" spans="1:24" ht="17.100000000000001" customHeight="1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U254" s="12"/>
      <c r="V254" s="12"/>
      <c r="W254" s="12"/>
      <c r="X254" s="12"/>
    </row>
    <row r="255" spans="1:24" ht="17.100000000000001" customHeight="1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U255" s="12"/>
      <c r="V255" s="12"/>
      <c r="W255" s="12"/>
      <c r="X255" s="12"/>
    </row>
    <row r="256" spans="1:24" ht="17.100000000000001" customHeight="1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U256" s="12"/>
      <c r="V256" s="12"/>
      <c r="W256" s="12"/>
      <c r="X256" s="12"/>
    </row>
    <row r="257" spans="1:24" ht="17.100000000000001" customHeight="1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U257" s="12"/>
      <c r="V257" s="12"/>
      <c r="W257" s="12"/>
      <c r="X257" s="12"/>
    </row>
    <row r="258" spans="1:24" ht="17.100000000000001" customHeight="1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U258" s="12"/>
      <c r="V258" s="12"/>
      <c r="W258" s="12"/>
      <c r="X258" s="12"/>
    </row>
    <row r="259" spans="1:24" ht="17.100000000000001" customHeight="1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U259" s="12"/>
      <c r="V259" s="12"/>
      <c r="W259" s="12"/>
      <c r="X259" s="12"/>
    </row>
    <row r="260" spans="1:24" ht="17.100000000000001" customHeight="1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U260" s="12"/>
      <c r="V260" s="12"/>
      <c r="W260" s="12"/>
      <c r="X260" s="12"/>
    </row>
    <row r="261" spans="1:24" ht="17.100000000000001" customHeight="1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U261" s="12"/>
      <c r="V261" s="12"/>
      <c r="W261" s="12"/>
      <c r="X261" s="12"/>
    </row>
    <row r="262" spans="1:24" ht="17.100000000000001" customHeight="1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U262" s="12"/>
      <c r="V262" s="12"/>
      <c r="W262" s="12"/>
      <c r="X262" s="12"/>
    </row>
    <row r="263" spans="1:24" ht="17.100000000000001" customHeight="1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U263" s="12"/>
      <c r="V263" s="12"/>
      <c r="W263" s="12"/>
      <c r="X263" s="12"/>
    </row>
    <row r="264" spans="1:24" ht="17.100000000000001" customHeight="1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U264" s="12"/>
      <c r="V264" s="12"/>
      <c r="W264" s="12"/>
      <c r="X264" s="12"/>
    </row>
    <row r="265" spans="1:24" ht="17.100000000000001" customHeight="1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U265" s="12"/>
      <c r="V265" s="12"/>
      <c r="W265" s="12"/>
      <c r="X265" s="12"/>
    </row>
    <row r="266" spans="1:24" ht="17.100000000000001" customHeight="1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U266" s="12"/>
      <c r="V266" s="12"/>
      <c r="W266" s="12"/>
      <c r="X266" s="12"/>
    </row>
    <row r="267" spans="1:24" ht="17.100000000000001" customHeight="1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U267" s="12"/>
      <c r="V267" s="12"/>
      <c r="W267" s="12"/>
      <c r="X267" s="12"/>
    </row>
    <row r="268" spans="1:24" ht="17.100000000000001" customHeight="1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U268" s="12"/>
      <c r="V268" s="12"/>
      <c r="W268" s="12"/>
      <c r="X268" s="12"/>
    </row>
    <row r="269" spans="1:24" ht="17.100000000000001" customHeight="1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U269" s="12"/>
      <c r="V269" s="12"/>
      <c r="W269" s="12"/>
      <c r="X269" s="12"/>
    </row>
    <row r="270" spans="1:24" ht="17.100000000000001" customHeight="1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U270" s="12"/>
      <c r="V270" s="12"/>
      <c r="W270" s="12"/>
      <c r="X270" s="12"/>
    </row>
    <row r="271" spans="1:24" ht="17.100000000000001" customHeight="1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U271" s="12"/>
      <c r="V271" s="12"/>
      <c r="W271" s="12"/>
      <c r="X271" s="12"/>
    </row>
    <row r="272" spans="1:24" ht="17.100000000000001" customHeight="1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U272" s="12"/>
      <c r="V272" s="12"/>
      <c r="W272" s="12"/>
      <c r="X272" s="12"/>
    </row>
    <row r="273" spans="1:24" ht="17.100000000000001" customHeight="1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U273" s="12"/>
      <c r="V273" s="12"/>
      <c r="W273" s="12"/>
      <c r="X273" s="12"/>
    </row>
    <row r="274" spans="1:24" ht="17.100000000000001" customHeight="1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U274" s="12"/>
      <c r="V274" s="12"/>
      <c r="W274" s="12"/>
      <c r="X274" s="12"/>
    </row>
    <row r="275" spans="1:24" ht="17.100000000000001" customHeight="1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U275" s="12"/>
      <c r="V275" s="12"/>
      <c r="W275" s="12"/>
      <c r="X275" s="12"/>
    </row>
    <row r="276" spans="1:24" ht="17.100000000000001" customHeight="1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U276" s="12"/>
      <c r="V276" s="12"/>
      <c r="W276" s="12"/>
      <c r="X276" s="12"/>
    </row>
    <row r="277" spans="1:24" ht="17.100000000000001" customHeight="1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U277" s="12"/>
      <c r="V277" s="12"/>
      <c r="W277" s="12"/>
      <c r="X277" s="12"/>
    </row>
    <row r="278" spans="1:24" ht="17.100000000000001" customHeight="1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U278" s="12"/>
      <c r="V278" s="12"/>
      <c r="W278" s="12"/>
      <c r="X278" s="12"/>
    </row>
    <row r="279" spans="1:24" ht="17.100000000000001" customHeight="1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U279" s="12"/>
      <c r="V279" s="12"/>
      <c r="W279" s="12"/>
      <c r="X279" s="12"/>
    </row>
    <row r="280" spans="1:24" ht="17.100000000000001" customHeight="1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U280" s="12"/>
      <c r="V280" s="12"/>
      <c r="W280" s="12"/>
      <c r="X280" s="12"/>
    </row>
    <row r="281" spans="1:24" ht="17.100000000000001" customHeight="1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U281" s="12"/>
      <c r="V281" s="12"/>
      <c r="W281" s="12"/>
      <c r="X281" s="12"/>
    </row>
    <row r="282" spans="1:24" ht="17.100000000000001" customHeight="1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U282" s="12"/>
      <c r="V282" s="12"/>
      <c r="W282" s="12"/>
      <c r="X282" s="12"/>
    </row>
    <row r="283" spans="1:24" ht="17.100000000000001" customHeight="1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U283" s="12"/>
      <c r="V283" s="12"/>
      <c r="W283" s="12"/>
      <c r="X283" s="12"/>
    </row>
    <row r="284" spans="1:24" ht="17.100000000000001" customHeight="1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U284" s="12"/>
      <c r="V284" s="12"/>
      <c r="W284" s="12"/>
      <c r="X284" s="12"/>
    </row>
    <row r="285" spans="1:24" ht="17.100000000000001" customHeight="1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U285" s="12"/>
      <c r="V285" s="12"/>
      <c r="W285" s="12"/>
      <c r="X285" s="12"/>
    </row>
    <row r="286" spans="1:24" ht="17.100000000000001" customHeight="1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U286" s="12"/>
      <c r="V286" s="12"/>
      <c r="W286" s="12"/>
      <c r="X286" s="12"/>
    </row>
    <row r="287" spans="1:24" ht="17.100000000000001" customHeight="1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U287" s="12"/>
      <c r="V287" s="12"/>
      <c r="W287" s="12"/>
      <c r="X287" s="12"/>
    </row>
    <row r="288" spans="1:24" ht="17.100000000000001" customHeight="1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U288" s="12"/>
      <c r="V288" s="12"/>
      <c r="W288" s="12"/>
      <c r="X288" s="12"/>
    </row>
    <row r="289" spans="1:24" ht="17.100000000000001" customHeight="1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U289" s="12"/>
      <c r="V289" s="12"/>
      <c r="W289" s="12"/>
      <c r="X289" s="12"/>
    </row>
    <row r="290" spans="1:24" ht="17.100000000000001" customHeight="1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U290" s="12"/>
      <c r="V290" s="12"/>
      <c r="W290" s="12"/>
      <c r="X290" s="12"/>
    </row>
    <row r="291" spans="1:24" ht="17.100000000000001" customHeight="1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U291" s="12"/>
      <c r="V291" s="12"/>
      <c r="W291" s="12"/>
      <c r="X291" s="12"/>
    </row>
    <row r="292" spans="1:24" ht="17.100000000000001" customHeight="1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U292" s="12"/>
      <c r="V292" s="12"/>
      <c r="W292" s="12"/>
      <c r="X292" s="12"/>
    </row>
    <row r="293" spans="1:24" ht="17.100000000000001" customHeight="1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U293" s="12"/>
      <c r="V293" s="12"/>
      <c r="W293" s="12"/>
      <c r="X293" s="12"/>
    </row>
    <row r="294" spans="1:24" ht="17.100000000000001" customHeight="1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U294" s="12"/>
      <c r="V294" s="12"/>
      <c r="W294" s="12"/>
      <c r="X294" s="12"/>
    </row>
    <row r="295" spans="1:24" ht="17.100000000000001" customHeight="1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U295" s="12"/>
      <c r="V295" s="12"/>
      <c r="W295" s="12"/>
      <c r="X295" s="12"/>
    </row>
    <row r="296" spans="1:24" ht="17.100000000000001" customHeight="1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U296" s="12"/>
      <c r="V296" s="12"/>
      <c r="W296" s="12"/>
      <c r="X296" s="12"/>
    </row>
    <row r="297" spans="1:24" ht="17.100000000000001" customHeight="1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U297" s="12"/>
      <c r="V297" s="12"/>
      <c r="W297" s="12"/>
      <c r="X297" s="12"/>
    </row>
    <row r="298" spans="1:24" ht="17.100000000000001" customHeight="1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U298" s="12"/>
      <c r="V298" s="12"/>
      <c r="W298" s="12"/>
      <c r="X298" s="12"/>
    </row>
    <row r="299" spans="1:24" ht="17.100000000000001" customHeight="1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U299" s="12"/>
      <c r="V299" s="12"/>
      <c r="W299" s="12"/>
      <c r="X299" s="12"/>
    </row>
    <row r="300" spans="1:24" ht="17.100000000000001" customHeight="1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U300" s="12"/>
      <c r="V300" s="12"/>
      <c r="W300" s="12"/>
      <c r="X300" s="12"/>
    </row>
    <row r="301" spans="1:24" ht="17.100000000000001" customHeight="1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U301" s="12"/>
      <c r="V301" s="12"/>
      <c r="W301" s="12"/>
      <c r="X301" s="12"/>
    </row>
    <row r="302" spans="1:24" ht="17.100000000000001" customHeight="1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U302" s="12"/>
      <c r="V302" s="12"/>
      <c r="W302" s="12"/>
      <c r="X302" s="12"/>
    </row>
    <row r="303" spans="1:24" ht="17.100000000000001" customHeight="1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U303" s="12"/>
      <c r="V303" s="12"/>
      <c r="W303" s="12"/>
      <c r="X303" s="12"/>
    </row>
    <row r="304" spans="1:24" ht="17.100000000000001" customHeight="1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U304" s="12"/>
      <c r="V304" s="12"/>
      <c r="W304" s="12"/>
      <c r="X304" s="12"/>
    </row>
    <row r="305" spans="1:24" ht="17.100000000000001" customHeight="1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U305" s="12"/>
      <c r="V305" s="12"/>
      <c r="W305" s="12"/>
      <c r="X305" s="12"/>
    </row>
    <row r="306" spans="1:24" ht="17.100000000000001" customHeight="1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U306" s="12"/>
      <c r="V306" s="12"/>
      <c r="W306" s="12"/>
      <c r="X306" s="12"/>
    </row>
    <row r="307" spans="1:24" ht="17.100000000000001" customHeight="1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U307" s="12"/>
      <c r="V307" s="12"/>
      <c r="W307" s="12"/>
      <c r="X307" s="12"/>
    </row>
    <row r="308" spans="1:24" ht="17.100000000000001" customHeight="1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U308" s="12"/>
      <c r="V308" s="12"/>
      <c r="W308" s="12"/>
      <c r="X308" s="12"/>
    </row>
    <row r="309" spans="1:24" ht="17.100000000000001" customHeight="1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U309" s="12"/>
      <c r="V309" s="12"/>
      <c r="W309" s="12"/>
      <c r="X309" s="12"/>
    </row>
    <row r="310" spans="1:24" ht="17.100000000000001" customHeight="1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U310" s="12"/>
      <c r="V310" s="12"/>
      <c r="W310" s="12"/>
      <c r="X310" s="12"/>
    </row>
    <row r="311" spans="1:24" ht="17.100000000000001" customHeight="1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U311" s="12"/>
      <c r="V311" s="12"/>
      <c r="W311" s="12"/>
      <c r="X311" s="12"/>
    </row>
    <row r="312" spans="1:24" ht="17.100000000000001" customHeight="1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U312" s="12"/>
      <c r="V312" s="12"/>
      <c r="W312" s="12"/>
      <c r="X312" s="12"/>
    </row>
    <row r="313" spans="1:24" ht="17.100000000000001" customHeight="1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U313" s="12"/>
      <c r="V313" s="12"/>
      <c r="W313" s="12"/>
      <c r="X313" s="12"/>
    </row>
    <row r="314" spans="1:24" ht="17.100000000000001" customHeight="1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U314" s="12"/>
      <c r="V314" s="12"/>
      <c r="W314" s="12"/>
      <c r="X314" s="12"/>
    </row>
    <row r="315" spans="1:24" ht="17.100000000000001" customHeight="1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U315" s="12"/>
      <c r="V315" s="12"/>
      <c r="W315" s="12"/>
      <c r="X315" s="12"/>
    </row>
    <row r="316" spans="1:24" ht="17.100000000000001" customHeight="1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U316" s="12"/>
      <c r="V316" s="12"/>
      <c r="W316" s="12"/>
      <c r="X316" s="12"/>
    </row>
    <row r="317" spans="1:24" ht="17.100000000000001" customHeight="1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U317" s="12"/>
      <c r="V317" s="12"/>
      <c r="W317" s="12"/>
      <c r="X317" s="12"/>
    </row>
    <row r="318" spans="1:24" ht="17.100000000000001" customHeight="1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U318" s="12"/>
      <c r="V318" s="12"/>
      <c r="W318" s="12"/>
      <c r="X318" s="12"/>
    </row>
    <row r="319" spans="1:24" ht="17.100000000000001" customHeight="1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U319" s="12"/>
      <c r="V319" s="12"/>
      <c r="W319" s="12"/>
      <c r="X319" s="12"/>
    </row>
    <row r="320" spans="1:24" ht="17.100000000000001" customHeight="1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U320" s="12"/>
      <c r="V320" s="12"/>
      <c r="W320" s="12"/>
      <c r="X320" s="12"/>
    </row>
    <row r="321" spans="1:24" ht="17.100000000000001" customHeight="1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U321" s="12"/>
      <c r="V321" s="12"/>
      <c r="W321" s="12"/>
      <c r="X321" s="12"/>
    </row>
    <row r="322" spans="1:24" ht="17.100000000000001" customHeight="1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U322" s="12"/>
      <c r="V322" s="12"/>
      <c r="W322" s="12"/>
      <c r="X322" s="12"/>
    </row>
    <row r="323" spans="1:24" ht="17.100000000000001" customHeight="1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U323" s="12"/>
      <c r="V323" s="12"/>
      <c r="W323" s="12"/>
      <c r="X323" s="12"/>
    </row>
    <row r="324" spans="1:24" ht="17.100000000000001" customHeight="1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U324" s="12"/>
      <c r="V324" s="12"/>
      <c r="W324" s="12"/>
      <c r="X324" s="12"/>
    </row>
    <row r="325" spans="1:24" ht="17.100000000000001" customHeight="1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U325" s="12"/>
      <c r="V325" s="12"/>
      <c r="W325" s="12"/>
      <c r="X325" s="12"/>
    </row>
    <row r="326" spans="1:24" ht="17.100000000000001" customHeight="1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U326" s="12"/>
      <c r="V326" s="12"/>
      <c r="W326" s="12"/>
      <c r="X326" s="12"/>
    </row>
    <row r="327" spans="1:24" ht="17.100000000000001" customHeight="1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U327" s="12"/>
      <c r="V327" s="12"/>
      <c r="W327" s="12"/>
      <c r="X327" s="12"/>
    </row>
    <row r="328" spans="1:24" ht="17.100000000000001" customHeight="1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U328" s="12"/>
      <c r="V328" s="12"/>
      <c r="W328" s="12"/>
      <c r="X328" s="12"/>
    </row>
    <row r="329" spans="1:24" ht="17.100000000000001" customHeight="1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U329" s="12"/>
      <c r="V329" s="12"/>
      <c r="W329" s="12"/>
      <c r="X329" s="12"/>
    </row>
    <row r="330" spans="1:24" ht="17.100000000000001" customHeight="1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U330" s="12"/>
      <c r="V330" s="12"/>
      <c r="W330" s="12"/>
      <c r="X330" s="12"/>
    </row>
    <row r="331" spans="1:24" ht="17.100000000000001" customHeight="1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U331" s="12"/>
      <c r="V331" s="12"/>
      <c r="W331" s="12"/>
      <c r="X331" s="12"/>
    </row>
    <row r="332" spans="1:24" ht="17.100000000000001" customHeight="1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U332" s="12"/>
      <c r="V332" s="12"/>
      <c r="W332" s="12"/>
      <c r="X332" s="12"/>
    </row>
    <row r="333" spans="1:24" ht="17.100000000000001" customHeight="1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U333" s="12"/>
      <c r="V333" s="12"/>
      <c r="W333" s="12"/>
      <c r="X333" s="12"/>
    </row>
    <row r="334" spans="1:24" ht="17.100000000000001" customHeight="1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U334" s="12"/>
      <c r="V334" s="12"/>
      <c r="W334" s="12"/>
      <c r="X334" s="12"/>
    </row>
    <row r="335" spans="1:24" ht="17.100000000000001" customHeight="1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U335" s="12"/>
      <c r="V335" s="12"/>
      <c r="W335" s="12"/>
      <c r="X335" s="12"/>
    </row>
    <row r="336" spans="1:24" ht="17.100000000000001" customHeight="1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U336" s="12"/>
      <c r="V336" s="12"/>
      <c r="W336" s="12"/>
      <c r="X336" s="12"/>
    </row>
    <row r="337" spans="1:24" ht="17.100000000000001" customHeight="1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U337" s="12"/>
      <c r="V337" s="12"/>
      <c r="W337" s="12"/>
      <c r="X337" s="12"/>
    </row>
    <row r="338" spans="1:24" ht="17.100000000000001" customHeight="1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U338" s="12"/>
      <c r="V338" s="12"/>
      <c r="W338" s="12"/>
      <c r="X338" s="12"/>
    </row>
    <row r="339" spans="1:24" ht="17.100000000000001" customHeight="1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U339" s="12"/>
      <c r="V339" s="12"/>
      <c r="W339" s="12"/>
      <c r="X339" s="12"/>
    </row>
    <row r="340" spans="1:24" ht="17.100000000000001" customHeight="1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U340" s="12"/>
      <c r="V340" s="12"/>
      <c r="W340" s="12"/>
      <c r="X340" s="12"/>
    </row>
    <row r="341" spans="1:24" ht="17.100000000000001" customHeight="1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U341" s="12"/>
      <c r="V341" s="12"/>
      <c r="W341" s="12"/>
      <c r="X341" s="12"/>
    </row>
    <row r="342" spans="1:24" ht="17.100000000000001" customHeight="1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U342" s="12"/>
      <c r="V342" s="12"/>
      <c r="W342" s="12"/>
      <c r="X342" s="12"/>
    </row>
    <row r="343" spans="1:24" ht="17.100000000000001" customHeight="1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U343" s="12"/>
      <c r="V343" s="12"/>
      <c r="W343" s="12"/>
      <c r="X343" s="12"/>
    </row>
    <row r="344" spans="1:24" ht="17.100000000000001" customHeight="1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U344" s="12"/>
      <c r="V344" s="12"/>
      <c r="W344" s="12"/>
      <c r="X344" s="12"/>
    </row>
    <row r="345" spans="1:24" ht="17.100000000000001" customHeight="1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U345" s="12"/>
      <c r="V345" s="12"/>
      <c r="W345" s="12"/>
      <c r="X345" s="12"/>
    </row>
    <row r="346" spans="1:24" ht="17.100000000000001" customHeight="1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U346" s="12"/>
      <c r="V346" s="12"/>
      <c r="W346" s="12"/>
      <c r="X346" s="12"/>
    </row>
    <row r="347" spans="1:24" ht="17.100000000000001" customHeight="1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U347" s="12"/>
      <c r="V347" s="12"/>
      <c r="W347" s="12"/>
      <c r="X347" s="12"/>
    </row>
    <row r="348" spans="1:24" ht="17.100000000000001" customHeight="1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U348" s="12"/>
      <c r="V348" s="12"/>
      <c r="W348" s="12"/>
      <c r="X348" s="12"/>
    </row>
    <row r="349" spans="1:24" ht="17.100000000000001" customHeight="1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U349" s="12"/>
      <c r="V349" s="12"/>
      <c r="W349" s="12"/>
      <c r="X349" s="12"/>
    </row>
    <row r="350" spans="1:24" ht="17.100000000000001" customHeight="1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U350" s="12"/>
      <c r="V350" s="12"/>
      <c r="W350" s="12"/>
      <c r="X350" s="12"/>
    </row>
    <row r="351" spans="1:24" ht="17.100000000000001" customHeight="1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U351" s="12"/>
      <c r="V351" s="12"/>
      <c r="W351" s="12"/>
      <c r="X351" s="12"/>
    </row>
    <row r="352" spans="1:24" ht="17.100000000000001" customHeight="1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U352" s="12"/>
      <c r="V352" s="12"/>
      <c r="W352" s="12"/>
      <c r="X352" s="12"/>
    </row>
    <row r="353" spans="1:24" ht="17.100000000000001" customHeight="1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U353" s="12"/>
      <c r="V353" s="12"/>
      <c r="W353" s="12"/>
      <c r="X353" s="12"/>
    </row>
    <row r="354" spans="1:24" ht="17.100000000000001" customHeight="1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U354" s="12"/>
      <c r="V354" s="12"/>
      <c r="W354" s="12"/>
      <c r="X354" s="12"/>
    </row>
    <row r="355" spans="1:24" ht="17.100000000000001" customHeight="1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U355" s="12"/>
      <c r="V355" s="12"/>
      <c r="W355" s="12"/>
      <c r="X355" s="12"/>
    </row>
    <row r="356" spans="1:24" ht="17.100000000000001" customHeight="1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U356" s="12"/>
      <c r="V356" s="12"/>
      <c r="W356" s="12"/>
      <c r="X356" s="12"/>
    </row>
    <row r="357" spans="1:24" ht="17.100000000000001" customHeight="1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U357" s="12"/>
      <c r="V357" s="12"/>
      <c r="W357" s="12"/>
      <c r="X357" s="12"/>
    </row>
    <row r="358" spans="1:24" ht="17.100000000000001" customHeight="1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U358" s="12"/>
      <c r="V358" s="12"/>
      <c r="W358" s="12"/>
      <c r="X358" s="12"/>
    </row>
    <row r="359" spans="1:24" ht="17.100000000000001" customHeight="1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U359" s="12"/>
      <c r="V359" s="12"/>
      <c r="W359" s="12"/>
      <c r="X359" s="12"/>
    </row>
    <row r="360" spans="1:24" ht="17.100000000000001" customHeight="1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U360" s="12"/>
      <c r="V360" s="12"/>
      <c r="W360" s="12"/>
      <c r="X360" s="12"/>
    </row>
    <row r="361" spans="1:24" ht="17.100000000000001" customHeight="1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U361" s="12"/>
      <c r="V361" s="12"/>
      <c r="W361" s="12"/>
      <c r="X361" s="12"/>
    </row>
    <row r="362" spans="1:24" ht="17.100000000000001" customHeight="1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U362" s="12"/>
      <c r="V362" s="12"/>
      <c r="W362" s="12"/>
      <c r="X362" s="12"/>
    </row>
    <row r="363" spans="1:24" ht="17.100000000000001" customHeight="1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U363" s="12"/>
      <c r="V363" s="12"/>
      <c r="W363" s="12"/>
      <c r="X363" s="12"/>
    </row>
    <row r="364" spans="1:24" ht="17.100000000000001" customHeight="1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U364" s="12"/>
      <c r="V364" s="12"/>
      <c r="W364" s="12"/>
      <c r="X364" s="12"/>
    </row>
    <row r="365" spans="1:24" ht="17.100000000000001" customHeight="1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U365" s="12"/>
      <c r="V365" s="12"/>
      <c r="W365" s="12"/>
      <c r="X365" s="12"/>
    </row>
    <row r="366" spans="1:24" ht="17.100000000000001" customHeight="1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U366" s="12"/>
      <c r="V366" s="12"/>
      <c r="W366" s="12"/>
      <c r="X366" s="12"/>
    </row>
    <row r="367" spans="1:24" ht="17.100000000000001" customHeight="1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U367" s="12"/>
      <c r="V367" s="12"/>
      <c r="W367" s="12"/>
      <c r="X367" s="12"/>
    </row>
    <row r="368" spans="1:24" ht="17.100000000000001" customHeight="1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U368" s="12"/>
      <c r="V368" s="12"/>
      <c r="W368" s="12"/>
      <c r="X368" s="12"/>
    </row>
    <row r="369" spans="1:24" ht="17.100000000000001" customHeight="1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U369" s="12"/>
      <c r="V369" s="12"/>
      <c r="W369" s="12"/>
      <c r="X369" s="12"/>
    </row>
    <row r="370" spans="1:24" ht="17.100000000000001" customHeight="1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U370" s="12"/>
      <c r="V370" s="12"/>
      <c r="W370" s="12"/>
      <c r="X370" s="12"/>
    </row>
    <row r="371" spans="1:24" ht="17.100000000000001" customHeight="1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U371" s="12"/>
      <c r="V371" s="12"/>
      <c r="W371" s="12"/>
      <c r="X371" s="12"/>
    </row>
    <row r="372" spans="1:24" ht="17.100000000000001" customHeight="1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U372" s="12"/>
      <c r="V372" s="12"/>
      <c r="W372" s="12"/>
      <c r="X372" s="12"/>
    </row>
    <row r="373" spans="1:24" ht="17.100000000000001" customHeight="1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U373" s="12"/>
      <c r="V373" s="12"/>
      <c r="W373" s="12"/>
      <c r="X373" s="12"/>
    </row>
    <row r="374" spans="1:24" ht="17.100000000000001" customHeight="1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U374" s="12"/>
      <c r="V374" s="12"/>
      <c r="W374" s="12"/>
      <c r="X374" s="12"/>
    </row>
    <row r="375" spans="1:24" ht="17.100000000000001" customHeight="1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U375" s="12"/>
      <c r="V375" s="12"/>
      <c r="W375" s="12"/>
      <c r="X375" s="12"/>
    </row>
    <row r="376" spans="1:24" ht="17.100000000000001" customHeight="1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U376" s="12"/>
      <c r="V376" s="12"/>
      <c r="W376" s="12"/>
      <c r="X376" s="12"/>
    </row>
    <row r="377" spans="1:24" ht="17.100000000000001" customHeight="1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U377" s="12"/>
      <c r="V377" s="12"/>
      <c r="W377" s="12"/>
      <c r="X377" s="12"/>
    </row>
    <row r="378" spans="1:24" ht="17.100000000000001" customHeight="1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U378" s="12"/>
      <c r="V378" s="12"/>
      <c r="W378" s="12"/>
      <c r="X378" s="12"/>
    </row>
    <row r="379" spans="1:24" ht="17.100000000000001" customHeight="1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U379" s="12"/>
      <c r="V379" s="12"/>
      <c r="W379" s="12"/>
      <c r="X379" s="12"/>
    </row>
    <row r="380" spans="1:24" ht="17.100000000000001" customHeight="1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U380" s="12"/>
      <c r="V380" s="12"/>
      <c r="W380" s="12"/>
      <c r="X380" s="12"/>
    </row>
    <row r="381" spans="1:24" ht="17.100000000000001" customHeight="1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U381" s="12"/>
      <c r="V381" s="12"/>
      <c r="W381" s="12"/>
      <c r="X381" s="12"/>
    </row>
    <row r="382" spans="1:24" ht="17.100000000000001" customHeight="1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U382" s="12"/>
      <c r="V382" s="12"/>
      <c r="W382" s="12"/>
      <c r="X382" s="12"/>
    </row>
    <row r="383" spans="1:24" ht="17.100000000000001" customHeight="1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U383" s="12"/>
      <c r="V383" s="12"/>
      <c r="W383" s="12"/>
      <c r="X383" s="12"/>
    </row>
    <row r="384" spans="1:24" ht="17.100000000000001" customHeight="1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U384" s="12"/>
      <c r="V384" s="12"/>
      <c r="W384" s="12"/>
      <c r="X384" s="12"/>
    </row>
    <row r="385" spans="1:24" ht="17.100000000000001" customHeight="1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U385" s="12"/>
      <c r="V385" s="12"/>
      <c r="W385" s="12"/>
      <c r="X385" s="12"/>
    </row>
    <row r="386" spans="1:24" ht="17.100000000000001" customHeight="1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U386" s="12"/>
      <c r="V386" s="12"/>
      <c r="W386" s="12"/>
      <c r="X386" s="12"/>
    </row>
    <row r="387" spans="1:24" ht="17.100000000000001" customHeight="1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U387" s="12"/>
      <c r="V387" s="12"/>
      <c r="W387" s="12"/>
      <c r="X387" s="12"/>
    </row>
    <row r="388" spans="1:24" ht="17.100000000000001" customHeight="1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U388" s="12"/>
      <c r="V388" s="12"/>
      <c r="W388" s="12"/>
      <c r="X388" s="12"/>
    </row>
    <row r="389" spans="1:24" ht="17.100000000000001" customHeight="1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U389" s="12"/>
      <c r="V389" s="12"/>
      <c r="W389" s="12"/>
      <c r="X389" s="12"/>
    </row>
    <row r="390" spans="1:24" ht="17.100000000000001" customHeight="1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U390" s="12"/>
      <c r="V390" s="12"/>
      <c r="W390" s="12"/>
      <c r="X390" s="12"/>
    </row>
    <row r="391" spans="1:24" ht="17.100000000000001" customHeight="1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U391" s="12"/>
      <c r="V391" s="12"/>
      <c r="W391" s="12"/>
      <c r="X391" s="12"/>
    </row>
    <row r="392" spans="1:24" ht="17.100000000000001" customHeight="1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U392" s="12"/>
      <c r="V392" s="12"/>
      <c r="W392" s="12"/>
      <c r="X392" s="12"/>
    </row>
    <row r="393" spans="1:24" ht="17.100000000000001" customHeight="1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U393" s="12"/>
      <c r="V393" s="12"/>
      <c r="W393" s="12"/>
      <c r="X393" s="12"/>
    </row>
    <row r="394" spans="1:24" ht="17.100000000000001" customHeight="1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U394" s="12"/>
      <c r="V394" s="12"/>
      <c r="W394" s="12"/>
      <c r="X394" s="12"/>
    </row>
    <row r="395" spans="1:24" ht="17.100000000000001" customHeight="1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U395" s="12"/>
      <c r="V395" s="12"/>
      <c r="W395" s="12"/>
      <c r="X395" s="12"/>
    </row>
    <row r="396" spans="1:24" ht="17.100000000000001" customHeight="1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U396" s="12"/>
      <c r="V396" s="12"/>
      <c r="W396" s="12"/>
      <c r="X396" s="12"/>
    </row>
    <row r="397" spans="1:24" ht="17.100000000000001" customHeight="1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U397" s="12"/>
      <c r="V397" s="12"/>
      <c r="W397" s="12"/>
      <c r="X397" s="12"/>
    </row>
    <row r="398" spans="1:24" ht="17.100000000000001" customHeight="1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U398" s="12"/>
      <c r="V398" s="12"/>
      <c r="W398" s="12"/>
      <c r="X398" s="12"/>
    </row>
    <row r="399" spans="1:24" ht="17.100000000000001" customHeight="1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U399" s="12"/>
      <c r="V399" s="12"/>
      <c r="W399" s="12"/>
      <c r="X399" s="12"/>
    </row>
    <row r="400" spans="1:24" ht="17.100000000000001" customHeight="1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U400" s="12"/>
      <c r="V400" s="12"/>
      <c r="W400" s="12"/>
      <c r="X400" s="12"/>
    </row>
    <row r="401" spans="1:24" ht="17.100000000000001" customHeight="1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U401" s="12"/>
      <c r="V401" s="12"/>
      <c r="W401" s="12"/>
      <c r="X401" s="12"/>
    </row>
    <row r="402" spans="1:24" ht="17.100000000000001" customHeight="1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U402" s="12"/>
      <c r="V402" s="12"/>
      <c r="W402" s="12"/>
      <c r="X402" s="12"/>
    </row>
    <row r="403" spans="1:24" ht="17.100000000000001" customHeight="1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U403" s="12"/>
      <c r="V403" s="12"/>
      <c r="W403" s="12"/>
      <c r="X403" s="12"/>
    </row>
    <row r="404" spans="1:24" ht="17.100000000000001" customHeight="1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U404" s="12"/>
      <c r="V404" s="12"/>
      <c r="W404" s="12"/>
      <c r="X404" s="12"/>
    </row>
    <row r="405" spans="1:24" ht="17.100000000000001" customHeight="1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U405" s="12"/>
      <c r="V405" s="12"/>
      <c r="W405" s="12"/>
      <c r="X405" s="12"/>
    </row>
    <row r="406" spans="1:24" ht="17.100000000000001" customHeight="1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U406" s="12"/>
      <c r="V406" s="12"/>
      <c r="W406" s="12"/>
      <c r="X406" s="12"/>
    </row>
    <row r="407" spans="1:24" ht="17.100000000000001" customHeight="1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U407" s="12"/>
      <c r="V407" s="12"/>
      <c r="W407" s="12"/>
      <c r="X407" s="12"/>
    </row>
    <row r="408" spans="1:24" ht="17.100000000000001" customHeight="1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U408" s="12"/>
      <c r="V408" s="12"/>
      <c r="W408" s="12"/>
      <c r="X408" s="12"/>
    </row>
    <row r="409" spans="1:24" ht="17.100000000000001" customHeight="1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U409" s="12"/>
      <c r="V409" s="12"/>
      <c r="W409" s="12"/>
      <c r="X409" s="12"/>
    </row>
    <row r="410" spans="1:24" ht="17.100000000000001" customHeight="1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U410" s="12"/>
      <c r="V410" s="12"/>
      <c r="W410" s="12"/>
      <c r="X410" s="12"/>
    </row>
    <row r="411" spans="1:24" ht="17.100000000000001" customHeight="1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U411" s="12"/>
      <c r="V411" s="12"/>
      <c r="W411" s="12"/>
      <c r="X411" s="12"/>
    </row>
    <row r="412" spans="1:24" ht="17.100000000000001" customHeight="1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U412" s="12"/>
      <c r="V412" s="12"/>
      <c r="W412" s="12"/>
      <c r="X412" s="12"/>
    </row>
    <row r="413" spans="1:24" ht="17.100000000000001" customHeight="1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U413" s="12"/>
      <c r="V413" s="12"/>
      <c r="W413" s="12"/>
      <c r="X413" s="12"/>
    </row>
    <row r="414" spans="1:24" ht="17.100000000000001" customHeight="1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U414" s="12"/>
      <c r="V414" s="12"/>
      <c r="W414" s="12"/>
      <c r="X414" s="12"/>
    </row>
    <row r="415" spans="1:24" ht="17.100000000000001" customHeight="1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U415" s="12"/>
      <c r="V415" s="12"/>
      <c r="W415" s="12"/>
      <c r="X415" s="12"/>
    </row>
    <row r="416" spans="1:24" ht="17.100000000000001" customHeight="1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U416" s="12"/>
      <c r="V416" s="12"/>
      <c r="W416" s="12"/>
      <c r="X416" s="12"/>
    </row>
    <row r="417" spans="1:24" ht="17.100000000000001" customHeight="1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U417" s="12"/>
      <c r="V417" s="12"/>
      <c r="W417" s="12"/>
      <c r="X417" s="12"/>
    </row>
    <row r="418" spans="1:24" ht="17.100000000000001" customHeight="1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U418" s="12"/>
      <c r="V418" s="12"/>
      <c r="W418" s="12"/>
      <c r="X418" s="12"/>
    </row>
    <row r="419" spans="1:24" ht="17.100000000000001" customHeight="1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U419" s="12"/>
      <c r="V419" s="12"/>
      <c r="W419" s="12"/>
      <c r="X419" s="12"/>
    </row>
    <row r="420" spans="1:24" ht="17.100000000000001" customHeight="1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U420" s="12"/>
      <c r="V420" s="12"/>
      <c r="W420" s="12"/>
      <c r="X420" s="12"/>
    </row>
    <row r="421" spans="1:24" ht="17.100000000000001" customHeight="1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U421" s="12"/>
      <c r="V421" s="12"/>
      <c r="W421" s="12"/>
      <c r="X421" s="12"/>
    </row>
    <row r="422" spans="1:24" ht="17.100000000000001" customHeight="1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U422" s="12"/>
      <c r="V422" s="12"/>
      <c r="W422" s="12"/>
      <c r="X422" s="12"/>
    </row>
    <row r="423" spans="1:24" ht="17.100000000000001" customHeight="1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U423" s="12"/>
      <c r="V423" s="12"/>
      <c r="W423" s="12"/>
      <c r="X423" s="12"/>
    </row>
    <row r="424" spans="1:24" ht="17.100000000000001" customHeight="1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U424" s="12"/>
      <c r="V424" s="12"/>
      <c r="W424" s="12"/>
      <c r="X424" s="12"/>
    </row>
    <row r="425" spans="1:24" ht="17.100000000000001" customHeight="1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U425" s="12"/>
      <c r="V425" s="12"/>
      <c r="W425" s="12"/>
      <c r="X425" s="12"/>
    </row>
    <row r="426" spans="1:24" ht="17.100000000000001" customHeight="1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U426" s="12"/>
      <c r="V426" s="12"/>
      <c r="W426" s="12"/>
      <c r="X426" s="12"/>
    </row>
    <row r="427" spans="1:24" ht="17.100000000000001" customHeight="1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U427" s="12"/>
      <c r="V427" s="12"/>
      <c r="W427" s="12"/>
      <c r="X427" s="12"/>
    </row>
    <row r="428" spans="1:24" ht="17.100000000000001" customHeight="1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U428" s="12"/>
      <c r="V428" s="12"/>
      <c r="W428" s="12"/>
      <c r="X428" s="12"/>
    </row>
    <row r="429" spans="1:24" ht="17.100000000000001" customHeight="1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U429" s="12"/>
      <c r="V429" s="12"/>
      <c r="W429" s="12"/>
      <c r="X429" s="12"/>
    </row>
    <row r="430" spans="1:24" ht="17.100000000000001" customHeight="1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U430" s="12"/>
      <c r="V430" s="12"/>
      <c r="W430" s="12"/>
      <c r="X430" s="12"/>
    </row>
    <row r="431" spans="1:24" ht="17.100000000000001" customHeight="1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U431" s="12"/>
      <c r="V431" s="12"/>
      <c r="W431" s="12"/>
      <c r="X431" s="12"/>
    </row>
    <row r="432" spans="1:24" ht="17.100000000000001" customHeight="1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U432" s="12"/>
      <c r="V432" s="12"/>
      <c r="W432" s="12"/>
      <c r="X432" s="12"/>
    </row>
    <row r="433" spans="1:24" ht="17.100000000000001" customHeight="1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U433" s="12"/>
      <c r="V433" s="12"/>
      <c r="W433" s="12"/>
      <c r="X433" s="12"/>
    </row>
    <row r="434" spans="1:24" ht="17.100000000000001" customHeight="1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U434" s="12"/>
      <c r="V434" s="12"/>
      <c r="W434" s="12"/>
      <c r="X434" s="12"/>
    </row>
    <row r="435" spans="1:24" ht="17.100000000000001" customHeight="1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U435" s="12"/>
      <c r="V435" s="12"/>
      <c r="W435" s="12"/>
      <c r="X435" s="12"/>
    </row>
    <row r="436" spans="1:24" ht="17.100000000000001" customHeight="1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U436" s="12"/>
      <c r="V436" s="12"/>
      <c r="W436" s="12"/>
      <c r="X436" s="12"/>
    </row>
    <row r="437" spans="1:24" ht="17.100000000000001" customHeight="1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U437" s="12"/>
      <c r="V437" s="12"/>
      <c r="W437" s="12"/>
      <c r="X437" s="12"/>
    </row>
    <row r="438" spans="1:24" ht="17.100000000000001" customHeight="1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U438" s="12"/>
      <c r="V438" s="12"/>
      <c r="W438" s="12"/>
      <c r="X438" s="12"/>
    </row>
    <row r="439" spans="1:24" ht="17.100000000000001" customHeight="1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U439" s="12"/>
      <c r="V439" s="12"/>
      <c r="W439" s="12"/>
      <c r="X439" s="12"/>
    </row>
    <row r="440" spans="1:24" ht="17.100000000000001" customHeight="1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U440" s="12"/>
      <c r="V440" s="12"/>
      <c r="W440" s="12"/>
      <c r="X440" s="12"/>
    </row>
    <row r="441" spans="1:24" ht="17.100000000000001" customHeight="1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U441" s="12"/>
      <c r="V441" s="12"/>
      <c r="W441" s="12"/>
      <c r="X441" s="12"/>
    </row>
    <row r="442" spans="1:24" ht="17.100000000000001" customHeight="1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U442" s="12"/>
      <c r="V442" s="12"/>
      <c r="W442" s="12"/>
      <c r="X442" s="12"/>
    </row>
    <row r="443" spans="1:24" ht="17.100000000000001" customHeight="1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U443" s="12"/>
      <c r="V443" s="12"/>
      <c r="W443" s="12"/>
      <c r="X443" s="12"/>
    </row>
    <row r="444" spans="1:24" ht="17.100000000000001" customHeight="1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U444" s="12"/>
      <c r="V444" s="12"/>
      <c r="W444" s="12"/>
      <c r="X444" s="12"/>
    </row>
    <row r="445" spans="1:24" ht="17.100000000000001" customHeight="1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U445" s="12"/>
      <c r="V445" s="12"/>
      <c r="W445" s="12"/>
      <c r="X445" s="12"/>
    </row>
    <row r="446" spans="1:24" ht="17.100000000000001" customHeight="1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U446" s="12"/>
      <c r="V446" s="12"/>
      <c r="W446" s="12"/>
      <c r="X446" s="12"/>
    </row>
    <row r="447" spans="1:24" ht="17.100000000000001" customHeight="1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U447" s="12"/>
      <c r="V447" s="12"/>
      <c r="W447" s="12"/>
      <c r="X447" s="12"/>
    </row>
    <row r="448" spans="1:24" ht="17.100000000000001" customHeight="1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U448" s="12"/>
      <c r="V448" s="12"/>
      <c r="W448" s="12"/>
      <c r="X448" s="12"/>
    </row>
    <row r="449" spans="1:24" ht="17.100000000000001" customHeight="1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U449" s="12"/>
      <c r="V449" s="12"/>
      <c r="W449" s="12"/>
      <c r="X449" s="12"/>
    </row>
    <row r="450" spans="1:24" ht="17.100000000000001" customHeight="1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U450" s="12"/>
      <c r="V450" s="12"/>
      <c r="W450" s="12"/>
      <c r="X450" s="12"/>
    </row>
    <row r="451" spans="1:24" ht="17.100000000000001" customHeight="1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U451" s="12"/>
      <c r="V451" s="12"/>
      <c r="W451" s="12"/>
      <c r="X451" s="12"/>
    </row>
    <row r="452" spans="1:24" ht="17.100000000000001" customHeight="1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U452" s="12"/>
      <c r="V452" s="12"/>
      <c r="W452" s="12"/>
      <c r="X452" s="12"/>
    </row>
    <row r="453" spans="1:24" ht="17.100000000000001" customHeight="1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U453" s="12"/>
      <c r="V453" s="12"/>
      <c r="W453" s="12"/>
      <c r="X453" s="12"/>
    </row>
    <row r="454" spans="1:24" ht="17.100000000000001" customHeight="1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U454" s="12"/>
      <c r="V454" s="12"/>
      <c r="W454" s="12"/>
      <c r="X454" s="12"/>
    </row>
    <row r="455" spans="1:24" ht="17.100000000000001" customHeight="1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U455" s="12"/>
      <c r="V455" s="12"/>
      <c r="W455" s="12"/>
      <c r="X455" s="12"/>
    </row>
    <row r="456" spans="1:24" ht="17.100000000000001" customHeight="1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U456" s="12"/>
      <c r="V456" s="12"/>
      <c r="W456" s="12"/>
      <c r="X456" s="12"/>
    </row>
    <row r="457" spans="1:24" ht="17.100000000000001" customHeight="1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U457" s="12"/>
      <c r="V457" s="12"/>
      <c r="W457" s="12"/>
      <c r="X457" s="12"/>
    </row>
    <row r="458" spans="1:24" ht="17.100000000000001" customHeight="1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U458" s="12"/>
      <c r="V458" s="12"/>
      <c r="W458" s="12"/>
      <c r="X458" s="12"/>
    </row>
    <row r="459" spans="1:24" ht="17.100000000000001" customHeight="1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U459" s="12"/>
      <c r="V459" s="12"/>
      <c r="W459" s="12"/>
      <c r="X459" s="12"/>
    </row>
    <row r="460" spans="1:24" ht="17.100000000000001" customHeight="1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U460" s="12"/>
      <c r="V460" s="12"/>
      <c r="W460" s="12"/>
      <c r="X460" s="12"/>
    </row>
    <row r="461" spans="1:24" ht="17.100000000000001" customHeight="1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U461" s="12"/>
      <c r="V461" s="12"/>
      <c r="W461" s="12"/>
      <c r="X461" s="12"/>
    </row>
    <row r="462" spans="1:24" ht="17.100000000000001" customHeight="1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U462" s="12"/>
      <c r="V462" s="12"/>
      <c r="W462" s="12"/>
      <c r="X462" s="12"/>
    </row>
    <row r="463" spans="1:24" ht="17.100000000000001" customHeight="1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U463" s="12"/>
      <c r="V463" s="12"/>
      <c r="W463" s="12"/>
      <c r="X463" s="12"/>
    </row>
    <row r="464" spans="1:24" ht="17.100000000000001" customHeight="1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U464" s="12"/>
      <c r="V464" s="12"/>
      <c r="W464" s="12"/>
      <c r="X464" s="12"/>
    </row>
    <row r="465" spans="1:24" ht="17.100000000000001" customHeight="1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U465" s="12"/>
      <c r="V465" s="12"/>
      <c r="W465" s="12"/>
      <c r="X465" s="12"/>
    </row>
    <row r="466" spans="1:24" ht="17.100000000000001" customHeight="1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U466" s="12"/>
      <c r="V466" s="12"/>
      <c r="W466" s="12"/>
      <c r="X466" s="12"/>
    </row>
    <row r="467" spans="1:24" ht="17.100000000000001" customHeight="1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U467" s="12"/>
      <c r="V467" s="12"/>
      <c r="W467" s="12"/>
      <c r="X467" s="12"/>
    </row>
    <row r="468" spans="1:24" ht="17.100000000000001" customHeight="1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U468" s="12"/>
      <c r="V468" s="12"/>
      <c r="W468" s="12"/>
      <c r="X468" s="12"/>
    </row>
    <row r="469" spans="1:24" ht="17.100000000000001" customHeight="1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U469" s="12"/>
      <c r="V469" s="12"/>
      <c r="W469" s="12"/>
      <c r="X469" s="12"/>
    </row>
    <row r="470" spans="1:24" ht="17.100000000000001" customHeight="1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U470" s="12"/>
      <c r="V470" s="12"/>
      <c r="W470" s="12"/>
      <c r="X470" s="12"/>
    </row>
    <row r="471" spans="1:24" ht="17.100000000000001" customHeight="1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U471" s="12"/>
      <c r="V471" s="12"/>
      <c r="W471" s="12"/>
      <c r="X471" s="12"/>
    </row>
    <row r="472" spans="1:24" ht="17.100000000000001" customHeight="1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U472" s="12"/>
      <c r="V472" s="12"/>
      <c r="W472" s="12"/>
      <c r="X472" s="12"/>
    </row>
    <row r="473" spans="1:24" ht="17.100000000000001" customHeight="1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U473" s="12"/>
      <c r="V473" s="12"/>
      <c r="W473" s="12"/>
      <c r="X473" s="12"/>
    </row>
    <row r="474" spans="1:24" ht="17.100000000000001" customHeight="1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U474" s="12"/>
      <c r="V474" s="12"/>
      <c r="W474" s="12"/>
      <c r="X474" s="12"/>
    </row>
    <row r="475" spans="1:24" ht="17.100000000000001" customHeight="1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U475" s="12"/>
      <c r="V475" s="12"/>
      <c r="W475" s="12"/>
      <c r="X475" s="12"/>
    </row>
    <row r="476" spans="1:24" ht="17.100000000000001" customHeight="1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U476" s="12"/>
      <c r="V476" s="12"/>
      <c r="W476" s="12"/>
      <c r="X476" s="12"/>
    </row>
    <row r="477" spans="1:24" ht="17.100000000000001" customHeight="1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U477" s="12"/>
      <c r="V477" s="12"/>
      <c r="W477" s="12"/>
      <c r="X477" s="12"/>
    </row>
    <row r="478" spans="1:24" ht="17.100000000000001" customHeight="1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U478" s="12"/>
      <c r="V478" s="12"/>
      <c r="W478" s="12"/>
      <c r="X478" s="12"/>
    </row>
    <row r="479" spans="1:24" ht="17.100000000000001" customHeight="1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U479" s="12"/>
      <c r="V479" s="12"/>
      <c r="W479" s="12"/>
      <c r="X479" s="12"/>
    </row>
    <row r="480" spans="1:24" ht="17.100000000000001" customHeight="1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U480" s="12"/>
      <c r="V480" s="12"/>
      <c r="W480" s="12"/>
      <c r="X480" s="12"/>
    </row>
    <row r="481" spans="1:24" ht="17.100000000000001" customHeight="1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U481" s="12"/>
      <c r="V481" s="12"/>
      <c r="W481" s="12"/>
      <c r="X481" s="12"/>
    </row>
    <row r="482" spans="1:24" ht="17.100000000000001" customHeight="1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U482" s="12"/>
      <c r="V482" s="12"/>
      <c r="W482" s="12"/>
      <c r="X482" s="12"/>
    </row>
    <row r="483" spans="1:24" ht="17.100000000000001" customHeight="1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U483" s="12"/>
      <c r="V483" s="12"/>
      <c r="W483" s="12"/>
      <c r="X483" s="12"/>
    </row>
    <row r="484" spans="1:24" ht="17.100000000000001" customHeight="1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U484" s="12"/>
      <c r="V484" s="12"/>
      <c r="W484" s="12"/>
      <c r="X484" s="12"/>
    </row>
    <row r="485" spans="1:24" ht="17.100000000000001" customHeight="1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U485" s="12"/>
      <c r="V485" s="12"/>
      <c r="W485" s="12"/>
      <c r="X485" s="12"/>
    </row>
    <row r="486" spans="1:24" ht="17.100000000000001" customHeight="1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U486" s="12"/>
      <c r="V486" s="12"/>
      <c r="W486" s="12"/>
      <c r="X486" s="12"/>
    </row>
    <row r="487" spans="1:24" ht="17.100000000000001" customHeight="1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U487" s="12"/>
      <c r="V487" s="12"/>
      <c r="W487" s="12"/>
      <c r="X487" s="12"/>
    </row>
    <row r="488" spans="1:24" ht="17.100000000000001" customHeight="1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U488" s="12"/>
      <c r="V488" s="12"/>
      <c r="W488" s="12"/>
      <c r="X488" s="12"/>
    </row>
    <row r="489" spans="1:24" ht="17.100000000000001" customHeight="1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U489" s="12"/>
      <c r="V489" s="12"/>
      <c r="W489" s="12"/>
      <c r="X489" s="12"/>
    </row>
    <row r="490" spans="1:24" ht="17.100000000000001" customHeight="1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U490" s="12"/>
      <c r="V490" s="12"/>
      <c r="W490" s="12"/>
      <c r="X490" s="12"/>
    </row>
    <row r="491" spans="1:24" ht="17.100000000000001" customHeight="1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U491" s="12"/>
      <c r="V491" s="12"/>
      <c r="W491" s="12"/>
      <c r="X491" s="12"/>
    </row>
    <row r="492" spans="1:24" ht="17.100000000000001" customHeight="1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U492" s="12"/>
      <c r="V492" s="12"/>
      <c r="W492" s="12"/>
      <c r="X492" s="12"/>
    </row>
    <row r="493" spans="1:24" ht="17.100000000000001" customHeight="1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U493" s="12"/>
      <c r="V493" s="12"/>
      <c r="W493" s="12"/>
      <c r="X493" s="12"/>
    </row>
    <row r="494" spans="1:24" ht="17.100000000000001" customHeight="1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U494" s="12"/>
      <c r="V494" s="12"/>
      <c r="W494" s="12"/>
      <c r="X494" s="12"/>
    </row>
    <row r="495" spans="1:24" ht="17.100000000000001" customHeight="1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U495" s="12"/>
      <c r="V495" s="12"/>
      <c r="W495" s="12"/>
      <c r="X495" s="12"/>
    </row>
    <row r="496" spans="1:24" ht="17.100000000000001" customHeight="1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U496" s="12"/>
      <c r="V496" s="12"/>
      <c r="W496" s="12"/>
      <c r="X496" s="12"/>
    </row>
    <row r="497" spans="1:24" ht="17.100000000000001" customHeight="1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U497" s="12"/>
      <c r="V497" s="12"/>
      <c r="W497" s="12"/>
      <c r="X497" s="12"/>
    </row>
    <row r="498" spans="1:24" ht="17.100000000000001" customHeight="1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U498" s="12"/>
      <c r="V498" s="12"/>
      <c r="W498" s="12"/>
      <c r="X498" s="12"/>
    </row>
    <row r="499" spans="1:24" ht="17.100000000000001" customHeight="1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U499" s="12"/>
      <c r="V499" s="12"/>
      <c r="W499" s="12"/>
      <c r="X499" s="12"/>
    </row>
    <row r="500" spans="1:24" ht="17.100000000000001" customHeight="1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U500" s="12"/>
      <c r="V500" s="12"/>
      <c r="W500" s="12"/>
      <c r="X500" s="12"/>
    </row>
    <row r="501" spans="1:24" ht="17.100000000000001" customHeight="1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U501" s="12"/>
      <c r="V501" s="12"/>
      <c r="W501" s="12"/>
      <c r="X501" s="12"/>
    </row>
    <row r="502" spans="1:24" ht="17.100000000000001" customHeight="1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U502" s="12"/>
      <c r="V502" s="12"/>
      <c r="W502" s="12"/>
      <c r="X502" s="12"/>
    </row>
    <row r="503" spans="1:24" ht="17.100000000000001" customHeight="1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U503" s="12"/>
      <c r="V503" s="12"/>
      <c r="W503" s="12"/>
      <c r="X503" s="12"/>
    </row>
    <row r="504" spans="1:24" ht="17.100000000000001" customHeight="1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U504" s="12"/>
      <c r="V504" s="12"/>
      <c r="W504" s="12"/>
      <c r="X504" s="12"/>
    </row>
    <row r="505" spans="1:24" ht="17.100000000000001" customHeight="1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U505" s="12"/>
      <c r="V505" s="12"/>
      <c r="W505" s="12"/>
      <c r="X505" s="12"/>
    </row>
    <row r="506" spans="1:24" ht="17.100000000000001" customHeight="1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U506" s="12"/>
      <c r="V506" s="12"/>
      <c r="W506" s="12"/>
      <c r="X506" s="12"/>
    </row>
    <row r="507" spans="1:24" ht="17.100000000000001" customHeight="1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U507" s="12"/>
      <c r="V507" s="12"/>
      <c r="W507" s="12"/>
      <c r="X507" s="12"/>
    </row>
    <row r="508" spans="1:24" ht="17.100000000000001" customHeight="1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U508" s="12"/>
      <c r="V508" s="12"/>
      <c r="W508" s="12"/>
      <c r="X508" s="12"/>
    </row>
    <row r="509" spans="1:24" ht="17.100000000000001" customHeight="1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U509" s="12"/>
      <c r="V509" s="12"/>
      <c r="W509" s="12"/>
      <c r="X509" s="12"/>
    </row>
    <row r="510" spans="1:24" ht="17.100000000000001" customHeight="1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U510" s="12"/>
      <c r="V510" s="12"/>
      <c r="W510" s="12"/>
      <c r="X510" s="12"/>
    </row>
    <row r="511" spans="1:24" ht="17.100000000000001" customHeight="1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U511" s="12"/>
      <c r="V511" s="12"/>
      <c r="W511" s="12"/>
      <c r="X511" s="12"/>
    </row>
    <row r="512" spans="1:24" ht="17.100000000000001" customHeight="1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U512" s="12"/>
      <c r="V512" s="12"/>
      <c r="W512" s="12"/>
      <c r="X512" s="12"/>
    </row>
    <row r="513" spans="1:24" ht="17.100000000000001" customHeight="1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U513" s="12"/>
      <c r="V513" s="12"/>
      <c r="W513" s="12"/>
      <c r="X513" s="12"/>
    </row>
    <row r="514" spans="1:24" ht="17.100000000000001" customHeight="1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U514" s="12"/>
      <c r="V514" s="12"/>
      <c r="W514" s="12"/>
      <c r="X514" s="12"/>
    </row>
    <row r="515" spans="1:24" ht="17.100000000000001" customHeight="1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U515" s="12"/>
      <c r="V515" s="12"/>
      <c r="W515" s="12"/>
      <c r="X515" s="12"/>
    </row>
    <row r="516" spans="1:24" ht="17.100000000000001" customHeight="1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U516" s="12"/>
      <c r="V516" s="12"/>
      <c r="W516" s="12"/>
      <c r="X516" s="12"/>
    </row>
    <row r="517" spans="1:24" ht="17.100000000000001" customHeight="1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U517" s="12"/>
      <c r="V517" s="12"/>
      <c r="W517" s="12"/>
      <c r="X517" s="12"/>
    </row>
    <row r="518" spans="1:24" ht="17.100000000000001" customHeight="1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U518" s="12"/>
      <c r="V518" s="12"/>
      <c r="W518" s="12"/>
      <c r="X518" s="12"/>
    </row>
    <row r="519" spans="1:24" ht="17.100000000000001" customHeight="1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U519" s="12"/>
      <c r="V519" s="12"/>
      <c r="W519" s="12"/>
      <c r="X519" s="12"/>
    </row>
    <row r="520" spans="1:24" ht="17.100000000000001" customHeight="1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U520" s="12"/>
      <c r="V520" s="12"/>
      <c r="W520" s="12"/>
      <c r="X520" s="12"/>
    </row>
    <row r="521" spans="1:24" ht="17.100000000000001" customHeight="1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U521" s="12"/>
      <c r="V521" s="12"/>
      <c r="W521" s="12"/>
      <c r="X521" s="12"/>
    </row>
    <row r="522" spans="1:24" ht="17.100000000000001" customHeight="1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U522" s="12"/>
      <c r="V522" s="12"/>
      <c r="W522" s="12"/>
      <c r="X522" s="12"/>
    </row>
    <row r="523" spans="1:24" ht="17.100000000000001" customHeight="1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U523" s="12"/>
      <c r="V523" s="12"/>
      <c r="W523" s="12"/>
      <c r="X523" s="12"/>
    </row>
    <row r="524" spans="1:24" ht="17.100000000000001" customHeight="1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U524" s="12"/>
      <c r="V524" s="12"/>
      <c r="W524" s="12"/>
      <c r="X524" s="12"/>
    </row>
    <row r="525" spans="1:24" ht="17.100000000000001" customHeight="1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U525" s="12"/>
      <c r="V525" s="12"/>
      <c r="W525" s="12"/>
      <c r="X525" s="12"/>
    </row>
    <row r="526" spans="1:24" ht="17.100000000000001" customHeight="1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U526" s="12"/>
      <c r="V526" s="12"/>
      <c r="W526" s="12"/>
      <c r="X526" s="12"/>
    </row>
    <row r="527" spans="1:24" ht="17.100000000000001" customHeight="1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U527" s="12"/>
      <c r="V527" s="12"/>
      <c r="W527" s="12"/>
      <c r="X527" s="12"/>
    </row>
    <row r="528" spans="1:24" ht="17.100000000000001" customHeight="1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U528" s="12"/>
      <c r="V528" s="12"/>
      <c r="W528" s="12"/>
      <c r="X528" s="12"/>
    </row>
    <row r="529" spans="1:24" ht="17.100000000000001" customHeight="1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U529" s="12"/>
      <c r="V529" s="12"/>
      <c r="W529" s="12"/>
      <c r="X529" s="12"/>
    </row>
    <row r="530" spans="1:24" ht="17.100000000000001" customHeight="1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U530" s="12"/>
      <c r="V530" s="12"/>
      <c r="W530" s="12"/>
      <c r="X530" s="12"/>
    </row>
    <row r="531" spans="1:24" ht="17.100000000000001" customHeight="1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U531" s="12"/>
      <c r="V531" s="12"/>
      <c r="W531" s="12"/>
      <c r="X531" s="12"/>
    </row>
    <row r="532" spans="1:24" ht="17.100000000000001" customHeight="1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U532" s="12"/>
      <c r="V532" s="12"/>
      <c r="W532" s="12"/>
      <c r="X532" s="12"/>
    </row>
    <row r="533" spans="1:24" ht="17.100000000000001" customHeight="1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U533" s="12"/>
      <c r="V533" s="12"/>
      <c r="W533" s="12"/>
      <c r="X533" s="12"/>
    </row>
    <row r="534" spans="1:24" ht="17.100000000000001" customHeight="1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U534" s="12"/>
      <c r="V534" s="12"/>
      <c r="W534" s="12"/>
      <c r="X534" s="12"/>
    </row>
    <row r="535" spans="1:24" ht="17.100000000000001" customHeight="1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U535" s="12"/>
      <c r="V535" s="12"/>
      <c r="W535" s="12"/>
      <c r="X535" s="12"/>
    </row>
    <row r="536" spans="1:24" ht="17.100000000000001" customHeight="1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U536" s="12"/>
      <c r="V536" s="12"/>
      <c r="W536" s="12"/>
      <c r="X536" s="12"/>
    </row>
    <row r="537" spans="1:24" ht="17.100000000000001" customHeight="1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U537" s="12"/>
      <c r="V537" s="12"/>
      <c r="W537" s="12"/>
      <c r="X537" s="12"/>
    </row>
    <row r="538" spans="1:24" ht="17.100000000000001" customHeight="1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U538" s="12"/>
      <c r="V538" s="12"/>
      <c r="W538" s="12"/>
      <c r="X538" s="12"/>
    </row>
    <row r="539" spans="1:24" ht="17.100000000000001" customHeight="1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U539" s="12"/>
      <c r="V539" s="12"/>
      <c r="W539" s="12"/>
      <c r="X539" s="12"/>
    </row>
    <row r="540" spans="1:24" ht="17.100000000000001" customHeight="1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U540" s="12"/>
      <c r="V540" s="12"/>
      <c r="W540" s="12"/>
      <c r="X540" s="12"/>
    </row>
    <row r="541" spans="1:24" ht="17.100000000000001" customHeight="1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U541" s="12"/>
      <c r="V541" s="12"/>
      <c r="W541" s="12"/>
      <c r="X541" s="12"/>
    </row>
    <row r="542" spans="1:24" ht="17.100000000000001" customHeight="1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U542" s="12"/>
      <c r="V542" s="12"/>
      <c r="W542" s="12"/>
      <c r="X542" s="12"/>
    </row>
    <row r="543" spans="1:24" ht="17.100000000000001" customHeight="1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U543" s="12"/>
      <c r="V543" s="12"/>
      <c r="W543" s="12"/>
      <c r="X543" s="12"/>
    </row>
    <row r="544" spans="1:24" ht="17.100000000000001" customHeight="1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U544" s="12"/>
      <c r="V544" s="12"/>
      <c r="W544" s="12"/>
      <c r="X544" s="12"/>
    </row>
    <row r="545" spans="1:24" ht="17.100000000000001" customHeight="1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U545" s="12"/>
      <c r="V545" s="12"/>
      <c r="W545" s="12"/>
      <c r="X545" s="12"/>
    </row>
    <row r="546" spans="1:24" ht="17.100000000000001" customHeight="1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U546" s="12"/>
      <c r="V546" s="12"/>
      <c r="W546" s="12"/>
      <c r="X546" s="12"/>
    </row>
    <row r="547" spans="1:24" ht="17.100000000000001" customHeight="1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U547" s="12"/>
      <c r="V547" s="12"/>
      <c r="W547" s="12"/>
      <c r="X547" s="12"/>
    </row>
    <row r="548" spans="1:24" ht="17.100000000000001" customHeight="1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U548" s="12"/>
      <c r="V548" s="12"/>
      <c r="W548" s="12"/>
      <c r="X548" s="12"/>
    </row>
    <row r="549" spans="1:24" ht="17.100000000000001" customHeight="1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U549" s="12"/>
      <c r="V549" s="12"/>
      <c r="W549" s="12"/>
      <c r="X549" s="12"/>
    </row>
    <row r="550" spans="1:24" ht="17.100000000000001" customHeight="1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U550" s="12"/>
      <c r="V550" s="12"/>
      <c r="W550" s="12"/>
      <c r="X550" s="12"/>
    </row>
    <row r="551" spans="1:24" ht="17.100000000000001" customHeight="1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U551" s="12"/>
      <c r="V551" s="12"/>
      <c r="W551" s="12"/>
      <c r="X551" s="12"/>
    </row>
    <row r="552" spans="1:24" ht="17.100000000000001" customHeight="1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U552" s="12"/>
      <c r="V552" s="12"/>
      <c r="W552" s="12"/>
      <c r="X552" s="12"/>
    </row>
    <row r="553" spans="1:24" ht="17.100000000000001" customHeight="1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U553" s="12"/>
      <c r="V553" s="12"/>
      <c r="W553" s="12"/>
      <c r="X553" s="12"/>
    </row>
    <row r="554" spans="1:24" ht="17.100000000000001" customHeight="1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U554" s="12"/>
      <c r="V554" s="12"/>
      <c r="W554" s="12"/>
      <c r="X554" s="12"/>
    </row>
    <row r="555" spans="1:24" ht="17.100000000000001" customHeight="1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U555" s="12"/>
      <c r="V555" s="12"/>
      <c r="W555" s="12"/>
      <c r="X555" s="12"/>
    </row>
    <row r="556" spans="1:24" ht="17.100000000000001" customHeight="1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U556" s="12"/>
      <c r="V556" s="12"/>
      <c r="W556" s="12"/>
      <c r="X556" s="12"/>
    </row>
    <row r="557" spans="1:24" ht="17.100000000000001" customHeight="1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U557" s="12"/>
      <c r="V557" s="12"/>
      <c r="W557" s="12"/>
      <c r="X557" s="12"/>
    </row>
    <row r="558" spans="1:24" ht="17.100000000000001" customHeight="1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U558" s="12"/>
      <c r="V558" s="12"/>
      <c r="W558" s="12"/>
      <c r="X558" s="12"/>
    </row>
    <row r="559" spans="1:24" ht="17.100000000000001" customHeight="1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U559" s="12"/>
      <c r="V559" s="12"/>
      <c r="W559" s="12"/>
      <c r="X559" s="12"/>
    </row>
    <row r="560" spans="1:24" ht="17.100000000000001" customHeight="1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U560" s="12"/>
      <c r="V560" s="12"/>
      <c r="W560" s="12"/>
      <c r="X560" s="12"/>
    </row>
    <row r="561" spans="1:24" ht="17.100000000000001" customHeight="1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U561" s="12"/>
      <c r="V561" s="12"/>
      <c r="W561" s="12"/>
      <c r="X561" s="12"/>
    </row>
    <row r="562" spans="1:24" ht="17.100000000000001" customHeight="1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U562" s="12"/>
      <c r="V562" s="12"/>
      <c r="W562" s="12"/>
      <c r="X562" s="12"/>
    </row>
    <row r="563" spans="1:24" ht="17.100000000000001" customHeight="1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U563" s="12"/>
      <c r="V563" s="12"/>
      <c r="W563" s="12"/>
      <c r="X563" s="12"/>
    </row>
    <row r="564" spans="1:24" ht="17.100000000000001" customHeight="1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U564" s="12"/>
      <c r="V564" s="12"/>
      <c r="W564" s="12"/>
      <c r="X564" s="12"/>
    </row>
    <row r="565" spans="1:24" ht="17.100000000000001" customHeight="1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U565" s="12"/>
      <c r="V565" s="12"/>
      <c r="W565" s="12"/>
      <c r="X565" s="12"/>
    </row>
    <row r="566" spans="1:24" ht="17.100000000000001" customHeight="1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U566" s="12"/>
      <c r="V566" s="12"/>
      <c r="W566" s="12"/>
      <c r="X566" s="12"/>
    </row>
    <row r="567" spans="1:24" ht="17.100000000000001" customHeight="1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U567" s="12"/>
      <c r="V567" s="12"/>
      <c r="W567" s="12"/>
      <c r="X567" s="12"/>
    </row>
    <row r="568" spans="1:24" ht="17.100000000000001" customHeight="1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U568" s="12"/>
      <c r="V568" s="12"/>
      <c r="W568" s="12"/>
      <c r="X568" s="12"/>
    </row>
    <row r="569" spans="1:24" ht="17.100000000000001" customHeight="1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U569" s="12"/>
      <c r="V569" s="12"/>
      <c r="W569" s="12"/>
      <c r="X569" s="12"/>
    </row>
    <row r="570" spans="1:24" ht="17.100000000000001" customHeight="1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U570" s="12"/>
      <c r="V570" s="12"/>
      <c r="W570" s="12"/>
      <c r="X570" s="12"/>
    </row>
    <row r="571" spans="1:24" ht="17.100000000000001" customHeight="1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U571" s="12"/>
      <c r="V571" s="12"/>
      <c r="W571" s="12"/>
      <c r="X571" s="12"/>
    </row>
    <row r="572" spans="1:24" ht="17.100000000000001" customHeight="1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U572" s="12"/>
      <c r="V572" s="12"/>
      <c r="W572" s="12"/>
      <c r="X572" s="12"/>
    </row>
    <row r="573" spans="1:24" ht="17.100000000000001" customHeight="1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U573" s="12"/>
      <c r="V573" s="12"/>
      <c r="W573" s="12"/>
      <c r="X573" s="12"/>
    </row>
    <row r="574" spans="1:24" ht="17.100000000000001" customHeight="1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U574" s="12"/>
      <c r="V574" s="12"/>
      <c r="W574" s="12"/>
      <c r="X574" s="12"/>
    </row>
    <row r="575" spans="1:24" ht="17.100000000000001" customHeight="1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U575" s="12"/>
      <c r="V575" s="12"/>
      <c r="W575" s="12"/>
      <c r="X575" s="12"/>
    </row>
    <row r="576" spans="1:24" ht="17.100000000000001" customHeight="1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U576" s="12"/>
      <c r="V576" s="12"/>
      <c r="W576" s="12"/>
      <c r="X576" s="12"/>
    </row>
    <row r="577" spans="1:24" ht="17.100000000000001" customHeight="1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U577" s="12"/>
      <c r="V577" s="12"/>
      <c r="W577" s="12"/>
      <c r="X577" s="12"/>
    </row>
    <row r="578" spans="1:24" ht="17.100000000000001" customHeight="1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U578" s="12"/>
      <c r="V578" s="12"/>
      <c r="W578" s="12"/>
      <c r="X578" s="12"/>
    </row>
    <row r="579" spans="1:24" ht="17.100000000000001" customHeight="1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U579" s="12"/>
      <c r="V579" s="12"/>
      <c r="W579" s="12"/>
      <c r="X579" s="12"/>
    </row>
    <row r="580" spans="1:24" ht="17.100000000000001" customHeight="1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U580" s="12"/>
      <c r="V580" s="12"/>
      <c r="W580" s="12"/>
      <c r="X580" s="12"/>
    </row>
    <row r="581" spans="1:24" ht="17.100000000000001" customHeight="1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U581" s="12"/>
      <c r="V581" s="12"/>
      <c r="W581" s="12"/>
      <c r="X581" s="12"/>
    </row>
    <row r="582" spans="1:24" ht="17.100000000000001" customHeight="1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U582" s="12"/>
      <c r="V582" s="12"/>
      <c r="W582" s="12"/>
      <c r="X582" s="12"/>
    </row>
    <row r="583" spans="1:24" ht="17.100000000000001" customHeight="1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U583" s="12"/>
      <c r="V583" s="12"/>
      <c r="W583" s="12"/>
      <c r="X583" s="12"/>
    </row>
    <row r="584" spans="1:24" ht="17.100000000000001" customHeight="1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U584" s="12"/>
      <c r="V584" s="12"/>
      <c r="W584" s="12"/>
      <c r="X584" s="12"/>
    </row>
    <row r="585" spans="1:24" ht="17.100000000000001" customHeight="1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U585" s="12"/>
      <c r="V585" s="12"/>
      <c r="W585" s="12"/>
      <c r="X585" s="12"/>
    </row>
    <row r="586" spans="1:24" ht="17.100000000000001" customHeight="1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U586" s="12"/>
      <c r="V586" s="12"/>
      <c r="W586" s="12"/>
      <c r="X586" s="12"/>
    </row>
    <row r="587" spans="1:24" ht="17.100000000000001" customHeight="1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U587" s="12"/>
      <c r="V587" s="12"/>
      <c r="W587" s="12"/>
      <c r="X587" s="12"/>
    </row>
    <row r="588" spans="1:24" ht="17.100000000000001" customHeight="1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U588" s="12"/>
      <c r="V588" s="12"/>
      <c r="W588" s="12"/>
      <c r="X588" s="12"/>
    </row>
    <row r="589" spans="1:24" ht="17.100000000000001" customHeight="1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U589" s="12"/>
      <c r="V589" s="12"/>
      <c r="W589" s="12"/>
      <c r="X589" s="12"/>
    </row>
    <row r="590" spans="1:24" ht="17.100000000000001" customHeight="1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U590" s="12"/>
      <c r="V590" s="12"/>
      <c r="W590" s="12"/>
      <c r="X590" s="12"/>
    </row>
    <row r="591" spans="1:24" ht="17.100000000000001" customHeight="1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U591" s="12"/>
      <c r="V591" s="12"/>
      <c r="W591" s="12"/>
      <c r="X591" s="12"/>
    </row>
    <row r="592" spans="1:24" ht="17.100000000000001" customHeight="1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U592" s="12"/>
      <c r="V592" s="12"/>
      <c r="W592" s="12"/>
      <c r="X592" s="12"/>
    </row>
    <row r="593" spans="1:24" ht="17.100000000000001" customHeight="1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U593" s="12"/>
      <c r="V593" s="12"/>
      <c r="W593" s="12"/>
      <c r="X593" s="12"/>
    </row>
    <row r="594" spans="1:24" ht="17.100000000000001" customHeight="1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U594" s="12"/>
      <c r="V594" s="12"/>
      <c r="W594" s="12"/>
      <c r="X594" s="12"/>
    </row>
    <row r="595" spans="1:24" ht="17.100000000000001" customHeight="1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U595" s="12"/>
      <c r="V595" s="12"/>
      <c r="W595" s="12"/>
      <c r="X595" s="12"/>
    </row>
    <row r="596" spans="1:24" ht="17.100000000000001" customHeight="1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U596" s="12"/>
      <c r="V596" s="12"/>
      <c r="W596" s="12"/>
      <c r="X596" s="12"/>
    </row>
    <row r="597" spans="1:24" ht="17.100000000000001" customHeight="1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U597" s="12"/>
      <c r="V597" s="12"/>
      <c r="W597" s="12"/>
      <c r="X597" s="12"/>
    </row>
    <row r="598" spans="1:24" ht="17.100000000000001" customHeight="1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U598" s="12"/>
      <c r="V598" s="12"/>
      <c r="W598" s="12"/>
      <c r="X598" s="12"/>
    </row>
    <row r="599" spans="1:24" ht="17.100000000000001" customHeight="1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U599" s="12"/>
      <c r="V599" s="12"/>
      <c r="W599" s="12"/>
      <c r="X599" s="12"/>
    </row>
    <row r="600" spans="1:24" ht="17.100000000000001" customHeight="1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U600" s="12"/>
      <c r="V600" s="12"/>
      <c r="W600" s="12"/>
      <c r="X600" s="12"/>
    </row>
    <row r="601" spans="1:24" ht="17.100000000000001" customHeight="1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U601" s="12"/>
      <c r="V601" s="12"/>
      <c r="W601" s="12"/>
      <c r="X601" s="12"/>
    </row>
    <row r="602" spans="1:24" ht="17.100000000000001" customHeight="1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U602" s="12"/>
      <c r="V602" s="12"/>
      <c r="W602" s="12"/>
      <c r="X602" s="12"/>
    </row>
    <row r="603" spans="1:24" ht="17.100000000000001" customHeight="1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U603" s="12"/>
      <c r="V603" s="12"/>
      <c r="W603" s="12"/>
      <c r="X603" s="12"/>
    </row>
    <row r="604" spans="1:24" ht="17.100000000000001" customHeight="1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U604" s="12"/>
      <c r="V604" s="12"/>
      <c r="W604" s="12"/>
      <c r="X604" s="12"/>
    </row>
    <row r="605" spans="1:24" ht="17.100000000000001" customHeight="1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U605" s="12"/>
      <c r="V605" s="12"/>
      <c r="W605" s="12"/>
      <c r="X605" s="12"/>
    </row>
    <row r="606" spans="1:24" ht="17.100000000000001" customHeight="1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U606" s="12"/>
      <c r="V606" s="12"/>
      <c r="W606" s="12"/>
      <c r="X606" s="12"/>
    </row>
    <row r="607" spans="1:24" ht="17.100000000000001" customHeight="1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U607" s="12"/>
      <c r="V607" s="12"/>
      <c r="W607" s="12"/>
      <c r="X607" s="12"/>
    </row>
    <row r="608" spans="1:24" ht="17.100000000000001" customHeight="1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U608" s="12"/>
      <c r="V608" s="12"/>
      <c r="W608" s="12"/>
      <c r="X608" s="12"/>
    </row>
    <row r="609" spans="1:24" ht="17.100000000000001" customHeight="1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U609" s="12"/>
      <c r="V609" s="12"/>
      <c r="W609" s="12"/>
      <c r="X609" s="12"/>
    </row>
    <row r="610" spans="1:24" ht="17.100000000000001" customHeight="1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U610" s="12"/>
      <c r="V610" s="12"/>
      <c r="W610" s="12"/>
      <c r="X610" s="12"/>
    </row>
    <row r="611" spans="1:24" ht="17.100000000000001" customHeight="1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U611" s="12"/>
      <c r="V611" s="12"/>
      <c r="W611" s="12"/>
      <c r="X611" s="12"/>
    </row>
    <row r="612" spans="1:24" ht="17.100000000000001" customHeight="1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U612" s="12"/>
      <c r="V612" s="12"/>
      <c r="W612" s="12"/>
      <c r="X612" s="12"/>
    </row>
    <row r="613" spans="1:24" ht="17.100000000000001" customHeight="1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U613" s="12"/>
      <c r="V613" s="12"/>
      <c r="W613" s="12"/>
      <c r="X613" s="12"/>
    </row>
    <row r="614" spans="1:24" ht="17.100000000000001" customHeight="1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U614" s="12"/>
      <c r="V614" s="12"/>
      <c r="W614" s="12"/>
      <c r="X614" s="12"/>
    </row>
    <row r="615" spans="1:24" ht="17.100000000000001" customHeight="1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U615" s="12"/>
      <c r="V615" s="12"/>
      <c r="W615" s="12"/>
      <c r="X615" s="12"/>
    </row>
    <row r="616" spans="1:24" ht="17.100000000000001" customHeight="1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U616" s="12"/>
      <c r="V616" s="12"/>
      <c r="W616" s="12"/>
      <c r="X616" s="12"/>
    </row>
    <row r="617" spans="1:24" ht="17.100000000000001" customHeight="1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U617" s="12"/>
      <c r="V617" s="12"/>
      <c r="W617" s="12"/>
      <c r="X617" s="12"/>
    </row>
    <row r="618" spans="1:24" ht="17.100000000000001" customHeight="1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U618" s="12"/>
      <c r="V618" s="12"/>
      <c r="W618" s="12"/>
      <c r="X618" s="12"/>
    </row>
    <row r="619" spans="1:24" ht="17.100000000000001" customHeight="1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U619" s="12"/>
      <c r="V619" s="12"/>
      <c r="W619" s="12"/>
      <c r="X619" s="12"/>
    </row>
    <row r="620" spans="1:24" ht="17.100000000000001" customHeight="1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U620" s="12"/>
      <c r="V620" s="12"/>
      <c r="W620" s="12"/>
      <c r="X620" s="12"/>
    </row>
    <row r="621" spans="1:24" ht="17.100000000000001" customHeight="1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U621" s="12"/>
      <c r="V621" s="12"/>
      <c r="W621" s="12"/>
      <c r="X621" s="12"/>
    </row>
    <row r="622" spans="1:24" ht="17.100000000000001" customHeight="1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U622" s="12"/>
      <c r="V622" s="12"/>
      <c r="W622" s="12"/>
      <c r="X622" s="12"/>
    </row>
    <row r="623" spans="1:24" ht="17.100000000000001" customHeight="1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U623" s="12"/>
      <c r="V623" s="12"/>
      <c r="W623" s="12"/>
      <c r="X623" s="12"/>
    </row>
    <row r="624" spans="1:24" ht="17.100000000000001" customHeight="1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U624" s="12"/>
      <c r="V624" s="12"/>
      <c r="W624" s="12"/>
      <c r="X624" s="12"/>
    </row>
    <row r="625" spans="1:24" ht="17.100000000000001" customHeight="1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U625" s="12"/>
      <c r="V625" s="12"/>
      <c r="W625" s="12"/>
      <c r="X625" s="12"/>
    </row>
    <row r="626" spans="1:24" ht="17.100000000000001" customHeight="1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U626" s="12"/>
      <c r="V626" s="12"/>
      <c r="W626" s="12"/>
      <c r="X626" s="12"/>
    </row>
    <row r="627" spans="1:24" ht="17.100000000000001" customHeight="1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U627" s="12"/>
      <c r="V627" s="12"/>
      <c r="W627" s="12"/>
      <c r="X627" s="12"/>
    </row>
    <row r="628" spans="1:24" ht="17.100000000000001" customHeight="1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U628" s="12"/>
      <c r="V628" s="12"/>
      <c r="W628" s="12"/>
      <c r="X628" s="12"/>
    </row>
    <row r="629" spans="1:24" ht="17.100000000000001" customHeight="1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U629" s="12"/>
      <c r="V629" s="12"/>
      <c r="W629" s="12"/>
      <c r="X629" s="12"/>
    </row>
    <row r="630" spans="1:24" ht="17.100000000000001" customHeight="1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U630" s="12"/>
      <c r="V630" s="12"/>
      <c r="W630" s="12"/>
      <c r="X630" s="12"/>
    </row>
    <row r="631" spans="1:24" ht="17.100000000000001" customHeight="1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U631" s="12"/>
      <c r="V631" s="12"/>
      <c r="W631" s="12"/>
      <c r="X631" s="12"/>
    </row>
    <row r="632" spans="1:24" ht="17.100000000000001" customHeight="1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U632" s="12"/>
      <c r="V632" s="12"/>
      <c r="W632" s="12"/>
      <c r="X632" s="12"/>
    </row>
    <row r="633" spans="1:24" ht="17.100000000000001" customHeight="1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U633" s="12"/>
      <c r="V633" s="12"/>
      <c r="W633" s="12"/>
      <c r="X633" s="12"/>
    </row>
    <row r="634" spans="1:24" ht="17.100000000000001" customHeight="1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U634" s="12"/>
      <c r="V634" s="12"/>
      <c r="W634" s="12"/>
      <c r="X634" s="12"/>
    </row>
    <row r="635" spans="1:24" ht="17.100000000000001" customHeight="1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U635" s="12"/>
      <c r="V635" s="12"/>
      <c r="W635" s="12"/>
      <c r="X635" s="12"/>
    </row>
    <row r="636" spans="1:24" ht="17.100000000000001" customHeight="1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U636" s="12"/>
      <c r="V636" s="12"/>
      <c r="W636" s="12"/>
      <c r="X636" s="12"/>
    </row>
    <row r="637" spans="1:24" ht="17.100000000000001" customHeight="1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U637" s="12"/>
      <c r="V637" s="12"/>
      <c r="W637" s="12"/>
      <c r="X637" s="12"/>
    </row>
    <row r="638" spans="1:24" ht="17.100000000000001" customHeight="1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U638" s="12"/>
      <c r="V638" s="12"/>
      <c r="W638" s="12"/>
      <c r="X638" s="12"/>
    </row>
    <row r="639" spans="1:24" ht="17.100000000000001" customHeight="1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U639" s="12"/>
      <c r="V639" s="12"/>
      <c r="W639" s="12"/>
      <c r="X639" s="12"/>
    </row>
    <row r="640" spans="1:24" ht="17.100000000000001" customHeight="1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U640" s="12"/>
      <c r="V640" s="12"/>
      <c r="W640" s="12"/>
      <c r="X640" s="12"/>
    </row>
    <row r="641" spans="1:24" ht="17.100000000000001" customHeight="1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U641" s="12"/>
      <c r="V641" s="12"/>
      <c r="W641" s="12"/>
      <c r="X641" s="12"/>
    </row>
    <row r="642" spans="1:24" ht="17.100000000000001" customHeight="1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U642" s="12"/>
      <c r="V642" s="12"/>
      <c r="W642" s="12"/>
      <c r="X642" s="12"/>
    </row>
    <row r="643" spans="1:24" ht="17.100000000000001" customHeight="1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U643" s="12"/>
      <c r="V643" s="12"/>
      <c r="W643" s="12"/>
      <c r="X643" s="12"/>
    </row>
    <row r="644" spans="1:24" ht="17.100000000000001" customHeight="1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U644" s="12"/>
      <c r="V644" s="12"/>
      <c r="W644" s="12"/>
      <c r="X644" s="12"/>
    </row>
    <row r="645" spans="1:24" ht="17.100000000000001" customHeight="1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U645" s="12"/>
      <c r="V645" s="12"/>
      <c r="W645" s="12"/>
      <c r="X645" s="12"/>
    </row>
    <row r="646" spans="1:24" ht="17.100000000000001" customHeight="1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U646" s="12"/>
      <c r="V646" s="12"/>
      <c r="W646" s="12"/>
      <c r="X646" s="12"/>
    </row>
    <row r="647" spans="1:24" ht="17.100000000000001" customHeight="1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U647" s="12"/>
      <c r="V647" s="12"/>
      <c r="W647" s="12"/>
      <c r="X647" s="12"/>
    </row>
    <row r="648" spans="1:24" ht="17.100000000000001" customHeight="1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U648" s="12"/>
      <c r="V648" s="12"/>
      <c r="W648" s="12"/>
      <c r="X648" s="12"/>
    </row>
    <row r="649" spans="1:24" ht="17.100000000000001" customHeight="1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U649" s="12"/>
      <c r="V649" s="12"/>
      <c r="W649" s="12"/>
      <c r="X649" s="12"/>
    </row>
    <row r="650" spans="1:24" ht="17.100000000000001" customHeight="1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U650" s="12"/>
      <c r="V650" s="12"/>
      <c r="W650" s="12"/>
      <c r="X650" s="12"/>
    </row>
    <row r="651" spans="1:24" ht="17.100000000000001" customHeight="1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U651" s="12"/>
      <c r="V651" s="12"/>
      <c r="W651" s="12"/>
      <c r="X651" s="12"/>
    </row>
    <row r="652" spans="1:24" ht="17.100000000000001" customHeight="1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U652" s="12"/>
      <c r="V652" s="12"/>
      <c r="W652" s="12"/>
      <c r="X652" s="12"/>
    </row>
    <row r="653" spans="1:24" ht="17.100000000000001" customHeight="1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U653" s="12"/>
      <c r="V653" s="12"/>
      <c r="W653" s="12"/>
      <c r="X653" s="12"/>
    </row>
    <row r="654" spans="1:24" ht="17.100000000000001" customHeight="1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U654" s="12"/>
      <c r="V654" s="12"/>
      <c r="W654" s="12"/>
      <c r="X654" s="12"/>
    </row>
    <row r="655" spans="1:24" ht="17.100000000000001" customHeight="1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U655" s="12"/>
      <c r="V655" s="12"/>
      <c r="W655" s="12"/>
      <c r="X655" s="12"/>
    </row>
    <row r="656" spans="1:24" ht="17.100000000000001" customHeight="1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U656" s="12"/>
      <c r="V656" s="12"/>
      <c r="W656" s="12"/>
      <c r="X656" s="12"/>
    </row>
    <row r="657" spans="1:24" ht="17.100000000000001" customHeight="1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U657" s="12"/>
      <c r="V657" s="12"/>
      <c r="W657" s="12"/>
      <c r="X657" s="12"/>
    </row>
    <row r="658" spans="1:24" ht="17.100000000000001" customHeight="1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U658" s="12"/>
      <c r="V658" s="12"/>
      <c r="W658" s="12"/>
      <c r="X658" s="12"/>
    </row>
    <row r="659" spans="1:24" ht="17.100000000000001" customHeight="1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U659" s="12"/>
      <c r="V659" s="12"/>
      <c r="W659" s="12"/>
      <c r="X659" s="12"/>
    </row>
    <row r="660" spans="1:24" ht="17.100000000000001" customHeight="1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U660" s="12"/>
      <c r="V660" s="12"/>
      <c r="W660" s="12"/>
      <c r="X660" s="12"/>
    </row>
    <row r="661" spans="1:24" ht="17.100000000000001" customHeight="1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U661" s="12"/>
      <c r="V661" s="12"/>
      <c r="W661" s="12"/>
      <c r="X661" s="12"/>
    </row>
    <row r="662" spans="1:24" ht="17.100000000000001" customHeight="1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U662" s="12"/>
      <c r="V662" s="12"/>
      <c r="W662" s="12"/>
      <c r="X662" s="12"/>
    </row>
    <row r="663" spans="1:24" ht="17.100000000000001" customHeight="1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U663" s="12"/>
      <c r="V663" s="12"/>
      <c r="W663" s="12"/>
      <c r="X663" s="12"/>
    </row>
    <row r="664" spans="1:24" ht="17.100000000000001" customHeight="1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U664" s="12"/>
      <c r="V664" s="12"/>
      <c r="W664" s="12"/>
      <c r="X664" s="12"/>
    </row>
    <row r="665" spans="1:24" ht="17.100000000000001" customHeight="1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U665" s="12"/>
      <c r="V665" s="12"/>
      <c r="W665" s="12"/>
      <c r="X665" s="12"/>
    </row>
    <row r="666" spans="1:24" ht="17.100000000000001" customHeight="1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U666" s="12"/>
      <c r="V666" s="12"/>
      <c r="W666" s="12"/>
      <c r="X666" s="12"/>
    </row>
    <row r="667" spans="1:24" ht="17.100000000000001" customHeight="1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U667" s="12"/>
      <c r="V667" s="12"/>
      <c r="W667" s="12"/>
      <c r="X667" s="12"/>
    </row>
    <row r="668" spans="1:24" ht="17.100000000000001" customHeight="1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U668" s="12"/>
      <c r="V668" s="12"/>
      <c r="W668" s="12"/>
      <c r="X668" s="12"/>
    </row>
    <row r="669" spans="1:24" ht="17.100000000000001" customHeight="1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U669" s="12"/>
      <c r="V669" s="12"/>
      <c r="W669" s="12"/>
      <c r="X669" s="12"/>
    </row>
    <row r="670" spans="1:24" ht="17.100000000000001" customHeight="1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U670" s="12"/>
      <c r="V670" s="12"/>
      <c r="W670" s="12"/>
      <c r="X670" s="12"/>
    </row>
    <row r="671" spans="1:24" ht="17.100000000000001" customHeight="1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U671" s="12"/>
      <c r="V671" s="12"/>
      <c r="W671" s="12"/>
      <c r="X671" s="12"/>
    </row>
    <row r="672" spans="1:24" ht="17.100000000000001" customHeight="1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U672" s="12"/>
      <c r="V672" s="12"/>
      <c r="W672" s="12"/>
      <c r="X672" s="12"/>
    </row>
    <row r="673" spans="1:24" ht="17.100000000000001" customHeight="1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U673" s="12"/>
      <c r="V673" s="12"/>
      <c r="W673" s="12"/>
      <c r="X673" s="12"/>
    </row>
    <row r="674" spans="1:24" ht="17.100000000000001" customHeight="1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U674" s="12"/>
      <c r="V674" s="12"/>
      <c r="W674" s="12"/>
      <c r="X674" s="12"/>
    </row>
    <row r="675" spans="1:24" ht="17.100000000000001" customHeight="1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U675" s="12"/>
      <c r="V675" s="12"/>
      <c r="W675" s="12"/>
      <c r="X675" s="12"/>
    </row>
    <row r="676" spans="1:24" ht="17.100000000000001" customHeight="1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U676" s="12"/>
      <c r="V676" s="12"/>
      <c r="W676" s="12"/>
      <c r="X676" s="12"/>
    </row>
    <row r="677" spans="1:24" ht="17.100000000000001" customHeight="1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U677" s="12"/>
      <c r="V677" s="12"/>
      <c r="W677" s="12"/>
      <c r="X677" s="12"/>
    </row>
    <row r="678" spans="1:24" ht="17.100000000000001" customHeight="1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U678" s="12"/>
      <c r="V678" s="12"/>
      <c r="W678" s="12"/>
      <c r="X678" s="12"/>
    </row>
    <row r="679" spans="1:24" ht="17.100000000000001" customHeight="1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U679" s="12"/>
      <c r="V679" s="12"/>
      <c r="W679" s="12"/>
      <c r="X679" s="12"/>
    </row>
    <row r="680" spans="1:24" ht="17.100000000000001" customHeight="1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U680" s="12"/>
      <c r="V680" s="12"/>
      <c r="W680" s="12"/>
      <c r="X680" s="12"/>
    </row>
    <row r="681" spans="1:24" ht="17.100000000000001" customHeight="1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U681" s="12"/>
      <c r="V681" s="12"/>
      <c r="W681" s="12"/>
      <c r="X681" s="12"/>
    </row>
    <row r="682" spans="1:24" ht="17.100000000000001" customHeight="1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U682" s="12"/>
      <c r="V682" s="12"/>
      <c r="W682" s="12"/>
      <c r="X682" s="12"/>
    </row>
    <row r="683" spans="1:24" ht="17.100000000000001" customHeight="1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U683" s="12"/>
      <c r="V683" s="12"/>
      <c r="W683" s="12"/>
      <c r="X683" s="12"/>
    </row>
    <row r="684" spans="1:24" ht="17.100000000000001" customHeight="1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U684" s="12"/>
      <c r="V684" s="12"/>
      <c r="W684" s="12"/>
      <c r="X684" s="12"/>
    </row>
    <row r="685" spans="1:24" ht="17.100000000000001" customHeight="1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U685" s="12"/>
      <c r="V685" s="12"/>
      <c r="W685" s="12"/>
      <c r="X685" s="12"/>
    </row>
    <row r="686" spans="1:24" ht="17.100000000000001" customHeight="1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U686" s="12"/>
      <c r="V686" s="12"/>
      <c r="W686" s="12"/>
      <c r="X686" s="12"/>
    </row>
    <row r="687" spans="1:24" ht="17.100000000000001" customHeight="1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U687" s="12"/>
      <c r="V687" s="12"/>
      <c r="W687" s="12"/>
      <c r="X687" s="12"/>
    </row>
    <row r="688" spans="1:24" ht="17.100000000000001" customHeight="1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U688" s="12"/>
      <c r="V688" s="12"/>
      <c r="W688" s="12"/>
      <c r="X688" s="12"/>
    </row>
    <row r="689" spans="1:24" ht="17.100000000000001" customHeight="1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U689" s="12"/>
      <c r="V689" s="12"/>
      <c r="W689" s="12"/>
      <c r="X689" s="12"/>
    </row>
    <row r="690" spans="1:24" ht="17.100000000000001" customHeight="1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U690" s="12"/>
      <c r="V690" s="12"/>
      <c r="W690" s="12"/>
      <c r="X690" s="12"/>
    </row>
    <row r="691" spans="1:24" ht="17.100000000000001" customHeight="1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U691" s="12"/>
      <c r="V691" s="12"/>
      <c r="W691" s="12"/>
      <c r="X691" s="12"/>
    </row>
    <row r="692" spans="1:24" ht="17.100000000000001" customHeight="1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U692" s="12"/>
      <c r="V692" s="12"/>
      <c r="W692" s="12"/>
      <c r="X692" s="12"/>
    </row>
    <row r="693" spans="1:24" ht="17.100000000000001" customHeight="1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U693" s="12"/>
      <c r="V693" s="12"/>
      <c r="W693" s="12"/>
      <c r="X693" s="12"/>
    </row>
    <row r="694" spans="1:24" ht="17.100000000000001" customHeight="1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U694" s="12"/>
      <c r="V694" s="12"/>
      <c r="W694" s="12"/>
      <c r="X694" s="12"/>
    </row>
    <row r="695" spans="1:24" ht="17.100000000000001" customHeight="1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U695" s="12"/>
      <c r="V695" s="12"/>
      <c r="W695" s="12"/>
      <c r="X695" s="12"/>
    </row>
    <row r="696" spans="1:24" ht="17.100000000000001" customHeight="1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U696" s="12"/>
      <c r="V696" s="12"/>
      <c r="W696" s="12"/>
      <c r="X696" s="12"/>
    </row>
    <row r="697" spans="1:24" ht="17.100000000000001" customHeight="1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U697" s="12"/>
      <c r="V697" s="12"/>
      <c r="W697" s="12"/>
      <c r="X697" s="12"/>
    </row>
    <row r="698" spans="1:24" ht="17.100000000000001" customHeight="1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U698" s="12"/>
      <c r="V698" s="12"/>
      <c r="W698" s="12"/>
      <c r="X698" s="12"/>
    </row>
    <row r="699" spans="1:24" ht="17.100000000000001" customHeight="1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U699" s="12"/>
      <c r="V699" s="12"/>
      <c r="W699" s="12"/>
      <c r="X699" s="12"/>
    </row>
    <row r="700" spans="1:24" ht="17.100000000000001" customHeight="1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U700" s="12"/>
      <c r="V700" s="12"/>
      <c r="W700" s="12"/>
      <c r="X700" s="12"/>
    </row>
    <row r="701" spans="1:24" ht="17.100000000000001" customHeight="1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U701" s="12"/>
      <c r="V701" s="12"/>
      <c r="W701" s="12"/>
      <c r="X701" s="12"/>
    </row>
    <row r="702" spans="1:24" ht="17.100000000000001" customHeight="1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U702" s="12"/>
      <c r="V702" s="12"/>
      <c r="W702" s="12"/>
      <c r="X702" s="12"/>
    </row>
    <row r="703" spans="1:24" ht="17.100000000000001" customHeight="1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U703" s="12"/>
      <c r="V703" s="12"/>
      <c r="W703" s="12"/>
      <c r="X703" s="12"/>
    </row>
    <row r="704" spans="1:24" ht="17.100000000000001" customHeight="1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U704" s="12"/>
      <c r="V704" s="12"/>
      <c r="W704" s="12"/>
      <c r="X704" s="12"/>
    </row>
    <row r="705" spans="1:24" ht="17.100000000000001" customHeight="1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U705" s="12"/>
      <c r="V705" s="12"/>
      <c r="W705" s="12"/>
      <c r="X705" s="12"/>
    </row>
    <row r="706" spans="1:24" ht="17.100000000000001" customHeight="1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U706" s="12"/>
      <c r="V706" s="12"/>
      <c r="W706" s="12"/>
      <c r="X706" s="12"/>
    </row>
    <row r="707" spans="1:24" ht="17.100000000000001" customHeight="1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U707" s="12"/>
      <c r="V707" s="12"/>
      <c r="W707" s="12"/>
      <c r="X707" s="12"/>
    </row>
    <row r="708" spans="1:24" ht="17.100000000000001" customHeight="1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U708" s="12"/>
      <c r="V708" s="12"/>
      <c r="W708" s="12"/>
      <c r="X708" s="12"/>
    </row>
    <row r="709" spans="1:24" ht="17.100000000000001" customHeight="1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U709" s="12"/>
      <c r="V709" s="12"/>
      <c r="W709" s="12"/>
      <c r="X709" s="12"/>
    </row>
    <row r="710" spans="1:24" ht="17.100000000000001" customHeight="1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U710" s="12"/>
      <c r="V710" s="12"/>
      <c r="W710" s="12"/>
      <c r="X710" s="12"/>
    </row>
    <row r="711" spans="1:24" ht="17.100000000000001" customHeight="1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U711" s="12"/>
      <c r="V711" s="12"/>
      <c r="W711" s="12"/>
      <c r="X711" s="12"/>
    </row>
    <row r="712" spans="1:24" ht="17.100000000000001" customHeight="1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U712" s="12"/>
      <c r="V712" s="12"/>
      <c r="W712" s="12"/>
      <c r="X712" s="12"/>
    </row>
    <row r="713" spans="1:24" ht="17.100000000000001" customHeight="1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U713" s="12"/>
      <c r="V713" s="12"/>
      <c r="W713" s="12"/>
      <c r="X713" s="12"/>
    </row>
    <row r="714" spans="1:24" ht="17.100000000000001" customHeight="1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U714" s="12"/>
      <c r="V714" s="12"/>
      <c r="W714" s="12"/>
      <c r="X714" s="12"/>
    </row>
    <row r="715" spans="1:24" ht="17.100000000000001" customHeight="1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U715" s="12"/>
      <c r="V715" s="12"/>
      <c r="W715" s="12"/>
      <c r="X715" s="12"/>
    </row>
    <row r="716" spans="1:24" ht="17.100000000000001" customHeight="1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U716" s="12"/>
      <c r="V716" s="12"/>
      <c r="W716" s="12"/>
      <c r="X716" s="12"/>
    </row>
    <row r="717" spans="1:24" ht="17.100000000000001" customHeight="1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U717" s="12"/>
      <c r="V717" s="12"/>
      <c r="W717" s="12"/>
      <c r="X717" s="12"/>
    </row>
    <row r="718" spans="1:24" ht="17.100000000000001" customHeight="1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U718" s="12"/>
      <c r="V718" s="12"/>
      <c r="W718" s="12"/>
      <c r="X718" s="12"/>
    </row>
    <row r="719" spans="1:24" ht="17.100000000000001" customHeight="1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U719" s="12"/>
      <c r="V719" s="12"/>
      <c r="W719" s="12"/>
      <c r="X719" s="12"/>
    </row>
    <row r="720" spans="1:24" ht="17.100000000000001" customHeight="1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U720" s="12"/>
      <c r="V720" s="12"/>
      <c r="W720" s="12"/>
      <c r="X720" s="12"/>
    </row>
    <row r="721" spans="1:24" ht="17.100000000000001" customHeight="1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U721" s="12"/>
      <c r="V721" s="12"/>
      <c r="W721" s="12"/>
      <c r="X721" s="12"/>
    </row>
    <row r="722" spans="1:24" ht="17.100000000000001" customHeight="1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U722" s="12"/>
      <c r="V722" s="12"/>
      <c r="W722" s="12"/>
      <c r="X722" s="12"/>
    </row>
    <row r="723" spans="1:24" ht="17.100000000000001" customHeight="1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U723" s="12"/>
      <c r="V723" s="12"/>
      <c r="W723" s="12"/>
      <c r="X723" s="12"/>
    </row>
    <row r="724" spans="1:24" ht="17.100000000000001" customHeight="1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U724" s="12"/>
      <c r="V724" s="12"/>
      <c r="W724" s="12"/>
      <c r="X724" s="12"/>
    </row>
    <row r="725" spans="1:24" ht="17.100000000000001" customHeight="1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U725" s="12"/>
      <c r="V725" s="12"/>
      <c r="W725" s="12"/>
      <c r="X725" s="12"/>
    </row>
    <row r="726" spans="1:24" ht="17.100000000000001" customHeight="1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U726" s="12"/>
      <c r="V726" s="12"/>
      <c r="W726" s="12"/>
      <c r="X726" s="12"/>
    </row>
    <row r="727" spans="1:24" ht="17.100000000000001" customHeight="1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U727" s="12"/>
      <c r="V727" s="12"/>
      <c r="W727" s="12"/>
      <c r="X727" s="12"/>
    </row>
    <row r="728" spans="1:24" ht="17.100000000000001" customHeight="1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U728" s="12"/>
      <c r="V728" s="12"/>
      <c r="W728" s="12"/>
      <c r="X728" s="12"/>
    </row>
    <row r="729" spans="1:24" ht="17.100000000000001" customHeight="1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U729" s="12"/>
      <c r="V729" s="12"/>
      <c r="W729" s="12"/>
      <c r="X729" s="12"/>
    </row>
    <row r="730" spans="1:24" ht="17.100000000000001" customHeight="1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U730" s="12"/>
      <c r="V730" s="12"/>
      <c r="W730" s="12"/>
      <c r="X730" s="12"/>
    </row>
    <row r="731" spans="1:24" ht="17.100000000000001" customHeight="1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U731" s="12"/>
      <c r="V731" s="12"/>
      <c r="W731" s="12"/>
      <c r="X731" s="12"/>
    </row>
    <row r="732" spans="1:24" ht="17.100000000000001" customHeight="1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U732" s="12"/>
      <c r="V732" s="12"/>
      <c r="W732" s="12"/>
      <c r="X732" s="12"/>
    </row>
    <row r="733" spans="1:24" ht="17.100000000000001" customHeight="1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U733" s="12"/>
      <c r="V733" s="12"/>
      <c r="W733" s="12"/>
      <c r="X733" s="12"/>
    </row>
    <row r="734" spans="1:24" ht="17.100000000000001" customHeight="1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U734" s="12"/>
      <c r="V734" s="12"/>
      <c r="W734" s="12"/>
      <c r="X734" s="12"/>
    </row>
    <row r="735" spans="1:24" ht="17.100000000000001" customHeight="1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U735" s="12"/>
      <c r="V735" s="12"/>
      <c r="W735" s="12"/>
      <c r="X735" s="12"/>
    </row>
    <row r="736" spans="1:24" ht="17.100000000000001" customHeight="1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U736" s="12"/>
      <c r="V736" s="12"/>
      <c r="W736" s="12"/>
      <c r="X736" s="12"/>
    </row>
    <row r="737" spans="1:24" ht="17.100000000000001" customHeight="1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U737" s="12"/>
      <c r="V737" s="12"/>
      <c r="W737" s="12"/>
      <c r="X737" s="12"/>
    </row>
    <row r="738" spans="1:24" ht="17.100000000000001" customHeight="1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U738" s="12"/>
      <c r="V738" s="12"/>
      <c r="W738" s="12"/>
      <c r="X738" s="12"/>
    </row>
    <row r="739" spans="1:24" ht="17.100000000000001" customHeight="1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U739" s="12"/>
      <c r="V739" s="12"/>
      <c r="W739" s="12"/>
      <c r="X739" s="12"/>
    </row>
    <row r="740" spans="1:24" ht="17.100000000000001" customHeight="1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U740" s="12"/>
      <c r="V740" s="12"/>
      <c r="W740" s="12"/>
      <c r="X740" s="12"/>
    </row>
    <row r="741" spans="1:24" ht="17.100000000000001" customHeight="1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U741" s="12"/>
      <c r="V741" s="12"/>
      <c r="W741" s="12"/>
      <c r="X741" s="12"/>
    </row>
    <row r="742" spans="1:24" ht="17.100000000000001" customHeight="1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U742" s="12"/>
      <c r="V742" s="12"/>
      <c r="W742" s="12"/>
      <c r="X742" s="12"/>
    </row>
    <row r="743" spans="1:24" ht="17.100000000000001" customHeight="1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U743" s="12"/>
      <c r="V743" s="12"/>
      <c r="W743" s="12"/>
      <c r="X743" s="12"/>
    </row>
    <row r="744" spans="1:24" ht="17.100000000000001" customHeight="1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U744" s="12"/>
      <c r="V744" s="12"/>
      <c r="W744" s="12"/>
      <c r="X744" s="12"/>
    </row>
    <row r="745" spans="1:24" ht="17.100000000000001" customHeight="1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U745" s="12"/>
      <c r="V745" s="12"/>
      <c r="W745" s="12"/>
      <c r="X745" s="12"/>
    </row>
    <row r="746" spans="1:24" ht="17.100000000000001" customHeight="1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U746" s="12"/>
      <c r="V746" s="12"/>
      <c r="W746" s="12"/>
      <c r="X746" s="12"/>
    </row>
    <row r="747" spans="1:24" ht="17.100000000000001" customHeight="1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U747" s="12"/>
      <c r="V747" s="12"/>
      <c r="W747" s="12"/>
      <c r="X747" s="12"/>
    </row>
    <row r="748" spans="1:24" ht="17.100000000000001" customHeight="1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U748" s="12"/>
      <c r="V748" s="12"/>
      <c r="W748" s="12"/>
      <c r="X748" s="12"/>
    </row>
    <row r="749" spans="1:24" ht="17.100000000000001" customHeight="1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U749" s="12"/>
      <c r="V749" s="12"/>
      <c r="W749" s="12"/>
      <c r="X749" s="12"/>
    </row>
    <row r="750" spans="1:24" ht="17.100000000000001" customHeight="1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U750" s="12"/>
      <c r="V750" s="12"/>
      <c r="W750" s="12"/>
      <c r="X750" s="12"/>
    </row>
    <row r="751" spans="1:24" ht="17.100000000000001" customHeight="1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U751" s="12"/>
      <c r="V751" s="12"/>
      <c r="W751" s="12"/>
      <c r="X751" s="12"/>
    </row>
    <row r="752" spans="1:24" ht="17.100000000000001" customHeight="1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U752" s="12"/>
      <c r="V752" s="12"/>
      <c r="W752" s="12"/>
      <c r="X752" s="12"/>
    </row>
    <row r="753" spans="1:24" ht="17.100000000000001" customHeight="1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U753" s="12"/>
      <c r="V753" s="12"/>
      <c r="W753" s="12"/>
      <c r="X753" s="12"/>
    </row>
    <row r="754" spans="1:24" ht="17.100000000000001" customHeight="1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U754" s="12"/>
      <c r="V754" s="12"/>
      <c r="W754" s="12"/>
      <c r="X754" s="12"/>
    </row>
    <row r="755" spans="1:24" ht="17.100000000000001" customHeight="1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U755" s="12"/>
      <c r="V755" s="12"/>
      <c r="W755" s="12"/>
      <c r="X755" s="12"/>
    </row>
    <row r="756" spans="1:24" ht="17.100000000000001" customHeight="1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U756" s="12"/>
      <c r="V756" s="12"/>
      <c r="W756" s="12"/>
      <c r="X756" s="12"/>
    </row>
    <row r="757" spans="1:24" ht="17.100000000000001" customHeight="1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U757" s="12"/>
      <c r="V757" s="12"/>
      <c r="W757" s="12"/>
      <c r="X757" s="12"/>
    </row>
    <row r="758" spans="1:24" ht="17.100000000000001" customHeight="1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U758" s="12"/>
      <c r="V758" s="12"/>
      <c r="W758" s="12"/>
      <c r="X758" s="12"/>
    </row>
    <row r="759" spans="1:24" ht="17.100000000000001" customHeight="1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U759" s="12"/>
      <c r="V759" s="12"/>
      <c r="W759" s="12"/>
      <c r="X759" s="12"/>
    </row>
    <row r="760" spans="1:24" ht="17.100000000000001" customHeight="1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U760" s="12"/>
      <c r="V760" s="12"/>
      <c r="W760" s="12"/>
      <c r="X760" s="12"/>
    </row>
    <row r="761" spans="1:24" ht="17.100000000000001" customHeight="1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U761" s="12"/>
      <c r="V761" s="12"/>
      <c r="W761" s="12"/>
      <c r="X761" s="12"/>
    </row>
    <row r="762" spans="1:24" ht="17.100000000000001" customHeight="1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U762" s="12"/>
      <c r="V762" s="12"/>
      <c r="W762" s="12"/>
      <c r="X762" s="12"/>
    </row>
    <row r="763" spans="1:24" ht="17.100000000000001" customHeight="1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U763" s="12"/>
      <c r="V763" s="12"/>
      <c r="W763" s="12"/>
      <c r="X763" s="12"/>
    </row>
    <row r="764" spans="1:24" ht="17.100000000000001" customHeight="1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U764" s="12"/>
      <c r="V764" s="12"/>
      <c r="W764" s="12"/>
      <c r="X764" s="12"/>
    </row>
    <row r="765" spans="1:24" ht="17.100000000000001" customHeight="1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U765" s="12"/>
      <c r="V765" s="12"/>
      <c r="W765" s="12"/>
      <c r="X765" s="12"/>
    </row>
    <row r="766" spans="1:24" ht="17.100000000000001" customHeight="1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U766" s="12"/>
      <c r="V766" s="12"/>
      <c r="W766" s="12"/>
      <c r="X766" s="12"/>
    </row>
    <row r="767" spans="1:24" ht="17.100000000000001" customHeight="1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U767" s="12"/>
      <c r="V767" s="12"/>
      <c r="W767" s="12"/>
      <c r="X767" s="12"/>
    </row>
    <row r="768" spans="1:24" ht="17.100000000000001" customHeight="1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U768" s="12"/>
      <c r="V768" s="12"/>
      <c r="W768" s="12"/>
      <c r="X768" s="12"/>
    </row>
    <row r="769" spans="1:24" ht="17.100000000000001" customHeight="1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U769" s="12"/>
      <c r="V769" s="12"/>
      <c r="W769" s="12"/>
      <c r="X769" s="12"/>
    </row>
    <row r="770" spans="1:24" ht="17.100000000000001" customHeight="1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U770" s="12"/>
      <c r="V770" s="12"/>
      <c r="W770" s="12"/>
      <c r="X770" s="12"/>
    </row>
    <row r="771" spans="1:24" ht="17.100000000000001" customHeight="1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U771" s="12"/>
      <c r="V771" s="12"/>
      <c r="W771" s="12"/>
      <c r="X771" s="12"/>
    </row>
    <row r="772" spans="1:24" ht="17.100000000000001" customHeight="1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U772" s="12"/>
      <c r="V772" s="12"/>
      <c r="W772" s="12"/>
      <c r="X772" s="12"/>
    </row>
    <row r="773" spans="1:24" ht="17.100000000000001" customHeight="1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U773" s="12"/>
      <c r="V773" s="12"/>
      <c r="W773" s="12"/>
      <c r="X773" s="12"/>
    </row>
    <row r="774" spans="1:24" ht="17.100000000000001" customHeight="1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U774" s="12"/>
      <c r="V774" s="12"/>
      <c r="W774" s="12"/>
      <c r="X774" s="12"/>
    </row>
    <row r="775" spans="1:24" ht="17.100000000000001" customHeight="1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U775" s="12"/>
      <c r="V775" s="12"/>
      <c r="W775" s="12"/>
      <c r="X775" s="12"/>
    </row>
    <row r="776" spans="1:24" ht="17.100000000000001" customHeight="1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U776" s="12"/>
      <c r="V776" s="12"/>
      <c r="W776" s="12"/>
      <c r="X776" s="12"/>
    </row>
    <row r="777" spans="1:24" ht="17.100000000000001" customHeight="1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U777" s="12"/>
      <c r="V777" s="12"/>
      <c r="W777" s="12"/>
      <c r="X777" s="12"/>
    </row>
    <row r="778" spans="1:24" ht="17.100000000000001" customHeight="1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U778" s="12"/>
      <c r="V778" s="12"/>
      <c r="W778" s="12"/>
      <c r="X778" s="12"/>
    </row>
    <row r="779" spans="1:24" ht="17.100000000000001" customHeight="1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U779" s="12"/>
      <c r="V779" s="12"/>
      <c r="W779" s="12"/>
      <c r="X779" s="12"/>
    </row>
    <row r="780" spans="1:24" ht="17.100000000000001" customHeight="1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U780" s="12"/>
      <c r="V780" s="12"/>
      <c r="W780" s="12"/>
      <c r="X780" s="12"/>
    </row>
    <row r="781" spans="1:24" ht="17.100000000000001" customHeight="1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U781" s="12"/>
      <c r="V781" s="12"/>
      <c r="W781" s="12"/>
      <c r="X781" s="12"/>
    </row>
    <row r="782" spans="1:24" ht="17.100000000000001" customHeight="1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U782" s="12"/>
      <c r="V782" s="12"/>
      <c r="W782" s="12"/>
      <c r="X782" s="12"/>
    </row>
    <row r="783" spans="1:24" ht="17.100000000000001" customHeight="1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U783" s="12"/>
      <c r="V783" s="12"/>
      <c r="W783" s="12"/>
      <c r="X783" s="12"/>
    </row>
    <row r="784" spans="1:24" ht="17.100000000000001" customHeight="1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U784" s="12"/>
      <c r="V784" s="12"/>
      <c r="W784" s="12"/>
      <c r="X784" s="12"/>
    </row>
    <row r="785" spans="1:24" ht="17.100000000000001" customHeight="1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U785" s="12"/>
      <c r="V785" s="12"/>
      <c r="W785" s="12"/>
      <c r="X785" s="12"/>
    </row>
    <row r="786" spans="1:24" ht="17.100000000000001" customHeight="1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U786" s="12"/>
      <c r="V786" s="12"/>
      <c r="W786" s="12"/>
      <c r="X786" s="12"/>
    </row>
    <row r="787" spans="1:24" ht="17.100000000000001" customHeight="1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U787" s="12"/>
      <c r="V787" s="12"/>
      <c r="W787" s="12"/>
      <c r="X787" s="12"/>
    </row>
    <row r="788" spans="1:24" ht="17.100000000000001" customHeight="1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U788" s="12"/>
      <c r="V788" s="12"/>
      <c r="W788" s="12"/>
      <c r="X788" s="12"/>
    </row>
    <row r="789" spans="1:24" ht="17.100000000000001" customHeight="1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U789" s="12"/>
      <c r="V789" s="12"/>
      <c r="W789" s="12"/>
      <c r="X789" s="12"/>
    </row>
    <row r="790" spans="1:24" ht="17.100000000000001" customHeight="1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U790" s="12"/>
      <c r="V790" s="12"/>
      <c r="W790" s="12"/>
      <c r="X790" s="12"/>
    </row>
    <row r="791" spans="1:24" ht="17.100000000000001" customHeight="1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U791" s="12"/>
      <c r="V791" s="12"/>
      <c r="W791" s="12"/>
      <c r="X791" s="12"/>
    </row>
    <row r="792" spans="1:24" ht="17.100000000000001" customHeight="1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U792" s="12"/>
      <c r="V792" s="12"/>
      <c r="W792" s="12"/>
      <c r="X792" s="12"/>
    </row>
    <row r="793" spans="1:24" ht="17.100000000000001" customHeight="1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U793" s="12"/>
      <c r="V793" s="12"/>
      <c r="W793" s="12"/>
      <c r="X793" s="12"/>
    </row>
    <row r="794" spans="1:24" ht="17.100000000000001" customHeight="1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U794" s="12"/>
      <c r="V794" s="12"/>
      <c r="W794" s="12"/>
      <c r="X794" s="12"/>
    </row>
    <row r="795" spans="1:24" ht="17.100000000000001" customHeight="1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U795" s="12"/>
      <c r="V795" s="12"/>
      <c r="W795" s="12"/>
      <c r="X795" s="12"/>
    </row>
    <row r="796" spans="1:24" ht="17.100000000000001" customHeight="1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U796" s="12"/>
      <c r="V796" s="12"/>
      <c r="W796" s="12"/>
      <c r="X796" s="12"/>
    </row>
    <row r="797" spans="1:24" ht="17.100000000000001" customHeight="1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U797" s="12"/>
      <c r="V797" s="12"/>
      <c r="W797" s="12"/>
      <c r="X797" s="12"/>
    </row>
    <row r="798" spans="1:24" ht="17.100000000000001" customHeight="1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U798" s="12"/>
      <c r="V798" s="12"/>
      <c r="W798" s="12"/>
      <c r="X798" s="12"/>
    </row>
    <row r="799" spans="1:24" ht="17.100000000000001" customHeight="1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U799" s="12"/>
      <c r="V799" s="12"/>
      <c r="W799" s="12"/>
      <c r="X799" s="12"/>
    </row>
    <row r="800" spans="1:24" ht="17.100000000000001" customHeight="1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U800" s="12"/>
      <c r="V800" s="12"/>
      <c r="W800" s="12"/>
      <c r="X800" s="12"/>
    </row>
    <row r="801" spans="1:24" ht="17.100000000000001" customHeight="1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U801" s="12"/>
      <c r="V801" s="12"/>
      <c r="W801" s="12"/>
      <c r="X801" s="12"/>
    </row>
    <row r="802" spans="1:24" ht="17.100000000000001" customHeight="1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U802" s="12"/>
      <c r="V802" s="12"/>
      <c r="W802" s="12"/>
      <c r="X802" s="12"/>
    </row>
    <row r="803" spans="1:24" ht="17.100000000000001" customHeight="1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U803" s="12"/>
      <c r="V803" s="12"/>
      <c r="W803" s="12"/>
      <c r="X803" s="12"/>
    </row>
    <row r="804" spans="1:24" ht="17.100000000000001" customHeight="1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U804" s="12"/>
      <c r="V804" s="12"/>
      <c r="W804" s="12"/>
      <c r="X804" s="12"/>
    </row>
    <row r="805" spans="1:24" ht="17.100000000000001" customHeight="1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U805" s="12"/>
      <c r="V805" s="12"/>
      <c r="W805" s="12"/>
      <c r="X805" s="12"/>
    </row>
    <row r="806" spans="1:24" ht="17.100000000000001" customHeight="1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U806" s="12"/>
      <c r="V806" s="12"/>
      <c r="W806" s="12"/>
      <c r="X806" s="12"/>
    </row>
    <row r="807" spans="1:24" ht="17.100000000000001" customHeight="1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U807" s="12"/>
      <c r="V807" s="12"/>
      <c r="W807" s="12"/>
      <c r="X807" s="12"/>
    </row>
    <row r="808" spans="1:24" ht="17.100000000000001" customHeight="1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U808" s="12"/>
      <c r="V808" s="12"/>
      <c r="W808" s="12"/>
      <c r="X808" s="12"/>
    </row>
    <row r="809" spans="1:24" ht="17.100000000000001" customHeight="1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U809" s="12"/>
      <c r="V809" s="12"/>
      <c r="W809" s="12"/>
      <c r="X809" s="12"/>
    </row>
    <row r="810" spans="1:24" ht="17.100000000000001" customHeight="1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U810" s="12"/>
      <c r="V810" s="12"/>
      <c r="W810" s="12"/>
      <c r="X810" s="12"/>
    </row>
    <row r="811" spans="1:24" ht="17.100000000000001" customHeight="1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U811" s="12"/>
      <c r="V811" s="12"/>
      <c r="W811" s="12"/>
      <c r="X811" s="12"/>
    </row>
    <row r="812" spans="1:24" ht="17.100000000000001" customHeight="1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U812" s="12"/>
      <c r="V812" s="12"/>
      <c r="W812" s="12"/>
      <c r="X812" s="12"/>
    </row>
    <row r="813" spans="1:24" ht="17.100000000000001" customHeight="1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U813" s="12"/>
      <c r="V813" s="12"/>
      <c r="W813" s="12"/>
      <c r="X813" s="12"/>
    </row>
    <row r="814" spans="1:24" ht="17.100000000000001" customHeight="1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U814" s="12"/>
      <c r="V814" s="12"/>
      <c r="W814" s="12"/>
      <c r="X814" s="12"/>
    </row>
    <row r="815" spans="1:24" ht="17.100000000000001" customHeight="1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U815" s="12"/>
      <c r="V815" s="12"/>
      <c r="W815" s="12"/>
      <c r="X815" s="12"/>
    </row>
    <row r="816" spans="1:24" ht="17.100000000000001" customHeight="1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U816" s="12"/>
      <c r="V816" s="12"/>
      <c r="W816" s="12"/>
      <c r="X816" s="12"/>
    </row>
    <row r="817" spans="1:24" ht="17.100000000000001" customHeight="1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U817" s="12"/>
      <c r="V817" s="12"/>
      <c r="W817" s="12"/>
      <c r="X817" s="12"/>
    </row>
    <row r="818" spans="1:24" ht="17.100000000000001" customHeight="1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U818" s="12"/>
      <c r="V818" s="12"/>
      <c r="W818" s="12"/>
      <c r="X818" s="12"/>
    </row>
    <row r="819" spans="1:24" ht="17.100000000000001" customHeight="1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U819" s="12"/>
      <c r="V819" s="12"/>
      <c r="W819" s="12"/>
      <c r="X819" s="12"/>
    </row>
    <row r="820" spans="1:24" ht="17.100000000000001" customHeight="1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U820" s="12"/>
      <c r="V820" s="12"/>
      <c r="W820" s="12"/>
      <c r="X820" s="12"/>
    </row>
    <row r="821" spans="1:24" ht="17.100000000000001" customHeight="1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U821" s="12"/>
      <c r="V821" s="12"/>
      <c r="W821" s="12"/>
      <c r="X821" s="12"/>
    </row>
    <row r="822" spans="1:24" ht="17.100000000000001" customHeight="1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U822" s="12"/>
      <c r="V822" s="12"/>
      <c r="W822" s="12"/>
      <c r="X822" s="12"/>
    </row>
    <row r="823" spans="1:24" ht="17.100000000000001" customHeight="1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U823" s="12"/>
      <c r="V823" s="12"/>
      <c r="W823" s="12"/>
      <c r="X823" s="12"/>
    </row>
    <row r="824" spans="1:24" ht="17.100000000000001" customHeight="1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U824" s="12"/>
      <c r="V824" s="12"/>
      <c r="W824" s="12"/>
      <c r="X824" s="12"/>
    </row>
    <row r="825" spans="1:24" ht="17.100000000000001" customHeight="1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U825" s="12"/>
      <c r="V825" s="12"/>
      <c r="W825" s="12"/>
      <c r="X825" s="12"/>
    </row>
    <row r="826" spans="1:24" ht="17.100000000000001" customHeight="1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U826" s="12"/>
      <c r="V826" s="12"/>
      <c r="W826" s="12"/>
      <c r="X826" s="12"/>
    </row>
    <row r="827" spans="1:24" ht="17.100000000000001" customHeight="1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U827" s="12"/>
      <c r="V827" s="12"/>
      <c r="W827" s="12"/>
      <c r="X827" s="12"/>
    </row>
    <row r="828" spans="1:24" ht="17.100000000000001" customHeight="1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U828" s="12"/>
      <c r="V828" s="12"/>
      <c r="W828" s="12"/>
      <c r="X828" s="12"/>
    </row>
    <row r="829" spans="1:24" ht="17.100000000000001" customHeight="1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U829" s="12"/>
      <c r="V829" s="12"/>
      <c r="W829" s="12"/>
      <c r="X829" s="12"/>
    </row>
    <row r="830" spans="1:24" ht="17.100000000000001" customHeight="1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U830" s="12"/>
      <c r="V830" s="12"/>
      <c r="W830" s="12"/>
      <c r="X830" s="12"/>
    </row>
    <row r="831" spans="1:24" ht="17.100000000000001" customHeight="1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U831" s="12"/>
      <c r="V831" s="12"/>
      <c r="W831" s="12"/>
      <c r="X831" s="12"/>
    </row>
    <row r="832" spans="1:24" ht="17.100000000000001" customHeight="1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U832" s="12"/>
      <c r="V832" s="12"/>
      <c r="W832" s="12"/>
      <c r="X832" s="12"/>
    </row>
    <row r="833" spans="1:24" ht="17.100000000000001" customHeight="1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U833" s="12"/>
      <c r="V833" s="12"/>
      <c r="W833" s="12"/>
      <c r="X833" s="12"/>
    </row>
    <row r="834" spans="1:24" ht="17.100000000000001" customHeight="1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U834" s="12"/>
      <c r="V834" s="12"/>
      <c r="W834" s="12"/>
      <c r="X834" s="12"/>
    </row>
    <row r="835" spans="1:24" ht="17.100000000000001" customHeight="1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U835" s="12"/>
      <c r="V835" s="12"/>
      <c r="W835" s="12"/>
      <c r="X835" s="12"/>
    </row>
    <row r="836" spans="1:24" ht="17.100000000000001" customHeight="1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U836" s="12"/>
      <c r="V836" s="12"/>
      <c r="W836" s="12"/>
      <c r="X836" s="12"/>
    </row>
    <row r="837" spans="1:24" ht="17.100000000000001" customHeight="1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U837" s="12"/>
      <c r="V837" s="12"/>
      <c r="W837" s="12"/>
      <c r="X837" s="12"/>
    </row>
    <row r="838" spans="1:24" ht="17.100000000000001" customHeight="1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U838" s="12"/>
      <c r="V838" s="12"/>
      <c r="W838" s="12"/>
      <c r="X838" s="12"/>
    </row>
    <row r="839" spans="1:24" ht="17.100000000000001" customHeight="1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U839" s="12"/>
      <c r="V839" s="12"/>
      <c r="W839" s="12"/>
      <c r="X839" s="12"/>
    </row>
    <row r="840" spans="1:24" ht="17.100000000000001" customHeight="1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U840" s="12"/>
      <c r="V840" s="12"/>
      <c r="W840" s="12"/>
      <c r="X840" s="12"/>
    </row>
    <row r="841" spans="1:24" ht="17.100000000000001" customHeight="1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U841" s="12"/>
      <c r="V841" s="12"/>
      <c r="W841" s="12"/>
      <c r="X841" s="12"/>
    </row>
    <row r="842" spans="1:24" ht="17.100000000000001" customHeight="1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U842" s="12"/>
      <c r="V842" s="12"/>
      <c r="W842" s="12"/>
      <c r="X842" s="12"/>
    </row>
    <row r="843" spans="1:24" ht="17.100000000000001" customHeight="1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U843" s="12"/>
      <c r="V843" s="12"/>
      <c r="W843" s="12"/>
      <c r="X843" s="12"/>
    </row>
    <row r="844" spans="1:24" ht="17.100000000000001" customHeight="1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U844" s="12"/>
      <c r="V844" s="12"/>
      <c r="W844" s="12"/>
      <c r="X844" s="12"/>
    </row>
    <row r="845" spans="1:24" ht="17.100000000000001" customHeight="1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U845" s="12"/>
      <c r="V845" s="12"/>
      <c r="W845" s="12"/>
      <c r="X845" s="12"/>
    </row>
    <row r="846" spans="1:24" ht="17.100000000000001" customHeight="1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U846" s="12"/>
      <c r="V846" s="12"/>
      <c r="W846" s="12"/>
      <c r="X846" s="12"/>
    </row>
    <row r="847" spans="1:24" ht="17.100000000000001" customHeight="1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U847" s="12"/>
      <c r="V847" s="12"/>
      <c r="W847" s="12"/>
      <c r="X847" s="12"/>
    </row>
    <row r="848" spans="1:24" ht="17.100000000000001" customHeight="1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U848" s="12"/>
      <c r="V848" s="12"/>
      <c r="W848" s="12"/>
      <c r="X848" s="12"/>
    </row>
    <row r="849" spans="1:24" ht="17.100000000000001" customHeight="1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U849" s="12"/>
      <c r="V849" s="12"/>
      <c r="W849" s="12"/>
      <c r="X849" s="12"/>
    </row>
    <row r="850" spans="1:24" ht="17.100000000000001" customHeight="1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U850" s="12"/>
      <c r="V850" s="12"/>
      <c r="W850" s="12"/>
      <c r="X850" s="12"/>
    </row>
    <row r="851" spans="1:24" ht="17.100000000000001" customHeight="1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U851" s="12"/>
      <c r="V851" s="12"/>
      <c r="W851" s="12"/>
      <c r="X851" s="12"/>
    </row>
    <row r="852" spans="1:24" ht="17.100000000000001" customHeight="1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U852" s="12"/>
      <c r="V852" s="12"/>
      <c r="W852" s="12"/>
      <c r="X852" s="12"/>
    </row>
    <row r="853" spans="1:24" ht="17.100000000000001" customHeight="1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U853" s="12"/>
      <c r="V853" s="12"/>
      <c r="W853" s="12"/>
      <c r="X853" s="12"/>
    </row>
    <row r="854" spans="1:24" ht="17.100000000000001" customHeight="1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U854" s="12"/>
      <c r="V854" s="12"/>
      <c r="W854" s="12"/>
      <c r="X854" s="12"/>
    </row>
    <row r="855" spans="1:24" ht="17.100000000000001" customHeight="1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U855" s="12"/>
      <c r="V855" s="12"/>
      <c r="W855" s="12"/>
      <c r="X855" s="12"/>
    </row>
    <row r="856" spans="1:24" ht="17.100000000000001" customHeight="1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U856" s="12"/>
      <c r="V856" s="12"/>
      <c r="W856" s="12"/>
      <c r="X856" s="12"/>
    </row>
    <row r="857" spans="1:24" ht="17.100000000000001" customHeight="1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U857" s="12"/>
      <c r="V857" s="12"/>
      <c r="W857" s="12"/>
      <c r="X857" s="12"/>
    </row>
    <row r="858" spans="1:24" ht="17.100000000000001" customHeight="1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U858" s="12"/>
      <c r="V858" s="12"/>
      <c r="W858" s="12"/>
      <c r="X858" s="12"/>
    </row>
    <row r="859" spans="1:24" ht="17.100000000000001" customHeight="1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U859" s="12"/>
      <c r="V859" s="12"/>
      <c r="W859" s="12"/>
      <c r="X859" s="12"/>
    </row>
    <row r="860" spans="1:24" ht="17.100000000000001" customHeight="1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U860" s="12"/>
      <c r="V860" s="12"/>
      <c r="W860" s="12"/>
      <c r="X860" s="12"/>
    </row>
    <row r="861" spans="1:24" ht="17.100000000000001" customHeight="1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U861" s="12"/>
      <c r="V861" s="12"/>
      <c r="W861" s="12"/>
      <c r="X861" s="12"/>
    </row>
    <row r="862" spans="1:24" ht="17.100000000000001" customHeight="1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U862" s="12"/>
      <c r="V862" s="12"/>
      <c r="W862" s="12"/>
      <c r="X862" s="12"/>
    </row>
    <row r="863" spans="1:24" ht="17.100000000000001" customHeight="1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U863" s="12"/>
      <c r="V863" s="12"/>
      <c r="W863" s="12"/>
      <c r="X863" s="12"/>
    </row>
    <row r="864" spans="1:24" ht="17.100000000000001" customHeight="1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U864" s="12"/>
      <c r="V864" s="12"/>
      <c r="W864" s="12"/>
      <c r="X864" s="12"/>
    </row>
    <row r="865" spans="1:24" ht="17.100000000000001" customHeight="1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U865" s="12"/>
      <c r="V865" s="12"/>
      <c r="W865" s="12"/>
      <c r="X865" s="12"/>
    </row>
    <row r="866" spans="1:24" ht="17.100000000000001" customHeight="1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U866" s="12"/>
      <c r="V866" s="12"/>
      <c r="W866" s="12"/>
      <c r="X866" s="12"/>
    </row>
    <row r="867" spans="1:24" ht="17.100000000000001" customHeight="1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U867" s="12"/>
      <c r="V867" s="12"/>
      <c r="W867" s="12"/>
      <c r="X867" s="12"/>
    </row>
    <row r="868" spans="1:24" ht="17.100000000000001" customHeight="1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U868" s="12"/>
      <c r="V868" s="12"/>
      <c r="W868" s="12"/>
      <c r="X868" s="12"/>
    </row>
    <row r="869" spans="1:24" ht="17.100000000000001" customHeight="1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U869" s="12"/>
      <c r="V869" s="12"/>
      <c r="W869" s="12"/>
      <c r="X869" s="12"/>
    </row>
    <row r="870" spans="1:24" ht="17.100000000000001" customHeight="1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U870" s="12"/>
      <c r="V870" s="12"/>
      <c r="W870" s="12"/>
      <c r="X870" s="12"/>
    </row>
    <row r="871" spans="1:24" ht="17.100000000000001" customHeight="1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U871" s="12"/>
      <c r="V871" s="12"/>
      <c r="W871" s="12"/>
      <c r="X871" s="12"/>
    </row>
    <row r="872" spans="1:24" ht="17.100000000000001" customHeight="1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U872" s="12"/>
      <c r="V872" s="12"/>
      <c r="W872" s="12"/>
      <c r="X872" s="12"/>
    </row>
    <row r="873" spans="1:24" ht="17.100000000000001" customHeight="1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U873" s="12"/>
      <c r="V873" s="12"/>
      <c r="W873" s="12"/>
      <c r="X873" s="12"/>
    </row>
    <row r="874" spans="1:24" ht="17.100000000000001" customHeight="1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U874" s="12"/>
      <c r="V874" s="12"/>
      <c r="W874" s="12"/>
      <c r="X874" s="12"/>
    </row>
    <row r="875" spans="1:24" ht="17.100000000000001" customHeight="1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U875" s="12"/>
      <c r="V875" s="12"/>
      <c r="W875" s="12"/>
      <c r="X875" s="12"/>
    </row>
    <row r="876" spans="1:24" ht="17.100000000000001" customHeight="1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U876" s="12"/>
      <c r="V876" s="12"/>
      <c r="W876" s="12"/>
      <c r="X876" s="12"/>
    </row>
    <row r="877" spans="1:24" ht="17.100000000000001" customHeight="1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U877" s="12"/>
      <c r="V877" s="12"/>
      <c r="W877" s="12"/>
      <c r="X877" s="12"/>
    </row>
    <row r="878" spans="1:24" ht="17.100000000000001" customHeight="1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U878" s="12"/>
      <c r="V878" s="12"/>
      <c r="W878" s="12"/>
      <c r="X878" s="12"/>
    </row>
    <row r="879" spans="1:24" ht="17.100000000000001" customHeight="1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U879" s="12"/>
      <c r="V879" s="12"/>
      <c r="W879" s="12"/>
      <c r="X879" s="12"/>
    </row>
    <row r="880" spans="1:24" ht="17.100000000000001" customHeight="1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U880" s="12"/>
      <c r="V880" s="12"/>
      <c r="W880" s="12"/>
      <c r="X880" s="12"/>
    </row>
    <row r="881" spans="1:24" ht="17.100000000000001" customHeight="1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U881" s="12"/>
      <c r="V881" s="12"/>
      <c r="W881" s="12"/>
      <c r="X881" s="12"/>
    </row>
    <row r="882" spans="1:24" ht="17.100000000000001" customHeight="1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U882" s="12"/>
      <c r="V882" s="12"/>
      <c r="W882" s="12"/>
      <c r="X882" s="12"/>
    </row>
    <row r="883" spans="1:24" ht="17.100000000000001" customHeight="1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U883" s="12"/>
      <c r="V883" s="12"/>
      <c r="W883" s="12"/>
      <c r="X883" s="12"/>
    </row>
    <row r="884" spans="1:24" ht="17.100000000000001" customHeight="1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U884" s="12"/>
      <c r="V884" s="12"/>
      <c r="W884" s="12"/>
      <c r="X884" s="12"/>
    </row>
    <row r="885" spans="1:24" ht="17.100000000000001" customHeight="1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U885" s="12"/>
      <c r="V885" s="12"/>
      <c r="W885" s="12"/>
      <c r="X885" s="12"/>
    </row>
    <row r="886" spans="1:24" ht="17.100000000000001" customHeight="1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U886" s="12"/>
      <c r="V886" s="12"/>
      <c r="W886" s="12"/>
      <c r="X886" s="12"/>
    </row>
    <row r="887" spans="1:24" ht="17.100000000000001" customHeight="1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U887" s="12"/>
      <c r="V887" s="12"/>
      <c r="W887" s="12"/>
      <c r="X887" s="12"/>
    </row>
    <row r="888" spans="1:24" ht="17.100000000000001" customHeight="1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U888" s="12"/>
      <c r="V888" s="12"/>
      <c r="W888" s="12"/>
      <c r="X888" s="12"/>
    </row>
    <row r="889" spans="1:24" ht="17.100000000000001" customHeight="1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U889" s="12"/>
      <c r="V889" s="12"/>
      <c r="W889" s="12"/>
      <c r="X889" s="12"/>
    </row>
    <row r="890" spans="1:24" ht="17.100000000000001" customHeight="1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U890" s="12"/>
      <c r="V890" s="12"/>
      <c r="W890" s="12"/>
      <c r="X890" s="12"/>
    </row>
    <row r="891" spans="1:24" ht="17.100000000000001" customHeight="1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U891" s="12"/>
      <c r="V891" s="12"/>
      <c r="W891" s="12"/>
      <c r="X891" s="12"/>
    </row>
    <row r="892" spans="1:24" ht="17.100000000000001" customHeight="1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U892" s="12"/>
      <c r="V892" s="12"/>
      <c r="W892" s="12"/>
      <c r="X892" s="12"/>
    </row>
    <row r="893" spans="1:24" ht="17.100000000000001" customHeight="1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U893" s="12"/>
      <c r="V893" s="12"/>
      <c r="W893" s="12"/>
      <c r="X893" s="12"/>
    </row>
    <row r="894" spans="1:24" ht="17.100000000000001" customHeight="1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U894" s="12"/>
      <c r="V894" s="12"/>
      <c r="W894" s="12"/>
      <c r="X894" s="12"/>
    </row>
    <row r="895" spans="1:24" ht="17.100000000000001" customHeight="1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U895" s="12"/>
      <c r="V895" s="12"/>
      <c r="W895" s="12"/>
      <c r="X895" s="12"/>
    </row>
    <row r="896" spans="1:24" ht="17.100000000000001" customHeight="1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U896" s="12"/>
      <c r="V896" s="12"/>
      <c r="W896" s="12"/>
      <c r="X896" s="12"/>
    </row>
    <row r="897" spans="1:24" ht="17.100000000000001" customHeight="1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U897" s="12"/>
      <c r="V897" s="12"/>
      <c r="W897" s="12"/>
      <c r="X897" s="12"/>
    </row>
    <row r="898" spans="1:24" ht="17.100000000000001" customHeight="1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U898" s="12"/>
      <c r="V898" s="12"/>
      <c r="W898" s="12"/>
      <c r="X898" s="12"/>
    </row>
    <row r="899" spans="1:24" ht="17.100000000000001" customHeight="1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U899" s="12"/>
      <c r="V899" s="12"/>
      <c r="W899" s="12"/>
      <c r="X899" s="12"/>
    </row>
    <row r="900" spans="1:24" ht="17.100000000000001" customHeight="1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U900" s="12"/>
      <c r="V900" s="12"/>
      <c r="W900" s="12"/>
      <c r="X900" s="12"/>
    </row>
    <row r="901" spans="1:24" ht="17.100000000000001" customHeight="1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U901" s="12"/>
      <c r="V901" s="12"/>
      <c r="W901" s="12"/>
      <c r="X901" s="12"/>
    </row>
    <row r="902" spans="1:24" ht="17.100000000000001" customHeight="1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U902" s="12"/>
      <c r="V902" s="12"/>
      <c r="W902" s="12"/>
      <c r="X902" s="12"/>
    </row>
    <row r="903" spans="1:24" ht="17.100000000000001" customHeight="1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U903" s="12"/>
      <c r="V903" s="12"/>
      <c r="W903" s="12"/>
      <c r="X903" s="12"/>
    </row>
    <row r="904" spans="1:24" ht="17.100000000000001" customHeight="1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U904" s="12"/>
      <c r="V904" s="12"/>
      <c r="W904" s="12"/>
      <c r="X904" s="12"/>
    </row>
    <row r="905" spans="1:24" ht="17.100000000000001" customHeight="1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U905" s="12"/>
      <c r="V905" s="12"/>
      <c r="W905" s="12"/>
      <c r="X905" s="12"/>
    </row>
    <row r="906" spans="1:24" ht="17.100000000000001" customHeight="1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U906" s="12"/>
      <c r="V906" s="12"/>
      <c r="W906" s="12"/>
      <c r="X906" s="12"/>
    </row>
    <row r="907" spans="1:24" ht="17.100000000000001" customHeight="1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U907" s="12"/>
      <c r="V907" s="12"/>
      <c r="W907" s="12"/>
      <c r="X907" s="12"/>
    </row>
    <row r="908" spans="1:24" ht="17.100000000000001" customHeight="1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U908" s="12"/>
      <c r="V908" s="12"/>
      <c r="W908" s="12"/>
      <c r="X908" s="12"/>
    </row>
    <row r="909" spans="1:24" ht="17.100000000000001" customHeight="1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U909" s="12"/>
      <c r="V909" s="12"/>
      <c r="W909" s="12"/>
      <c r="X909" s="12"/>
    </row>
    <row r="910" spans="1:24" ht="17.100000000000001" customHeight="1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U910" s="12"/>
      <c r="V910" s="12"/>
      <c r="W910" s="12"/>
      <c r="X910" s="12"/>
    </row>
    <row r="911" spans="1:24" ht="17.100000000000001" customHeight="1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U911" s="12"/>
      <c r="V911" s="12"/>
      <c r="W911" s="12"/>
      <c r="X911" s="12"/>
    </row>
    <row r="912" spans="1:24" ht="17.100000000000001" customHeight="1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U912" s="12"/>
      <c r="V912" s="12"/>
      <c r="W912" s="12"/>
      <c r="X912" s="12"/>
    </row>
    <row r="913" spans="1:24" ht="17.100000000000001" customHeight="1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U913" s="12"/>
      <c r="V913" s="12"/>
      <c r="W913" s="12"/>
      <c r="X913" s="12"/>
    </row>
    <row r="914" spans="1:24" ht="17.100000000000001" customHeight="1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U914" s="12"/>
      <c r="V914" s="12"/>
      <c r="W914" s="12"/>
      <c r="X914" s="12"/>
    </row>
    <row r="915" spans="1:24" ht="17.100000000000001" customHeight="1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U915" s="12"/>
      <c r="V915" s="12"/>
      <c r="W915" s="12"/>
      <c r="X915" s="12"/>
    </row>
    <row r="916" spans="1:24" ht="17.100000000000001" customHeight="1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U916" s="12"/>
      <c r="V916" s="12"/>
      <c r="W916" s="12"/>
      <c r="X916" s="12"/>
    </row>
    <row r="917" spans="1:24" ht="17.100000000000001" customHeight="1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U917" s="12"/>
      <c r="V917" s="12"/>
      <c r="W917" s="12"/>
      <c r="X917" s="12"/>
    </row>
    <row r="918" spans="1:24" ht="17.100000000000001" customHeight="1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U918" s="12"/>
      <c r="V918" s="12"/>
      <c r="W918" s="12"/>
      <c r="X918" s="12"/>
    </row>
    <row r="919" spans="1:24" ht="17.100000000000001" customHeight="1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U919" s="12"/>
      <c r="V919" s="12"/>
      <c r="W919" s="12"/>
      <c r="X919" s="12"/>
    </row>
    <row r="920" spans="1:24" ht="17.100000000000001" customHeight="1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U920" s="12"/>
      <c r="V920" s="12"/>
      <c r="W920" s="12"/>
      <c r="X920" s="12"/>
    </row>
    <row r="921" spans="1:24" ht="17.100000000000001" customHeight="1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U921" s="12"/>
      <c r="V921" s="12"/>
      <c r="W921" s="12"/>
      <c r="X921" s="12"/>
    </row>
    <row r="922" spans="1:24" ht="17.100000000000001" customHeight="1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U922" s="12"/>
      <c r="V922" s="12"/>
      <c r="W922" s="12"/>
      <c r="X922" s="12"/>
    </row>
    <row r="923" spans="1:24" ht="17.100000000000001" customHeight="1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U923" s="12"/>
      <c r="V923" s="12"/>
      <c r="W923" s="12"/>
      <c r="X923" s="12"/>
    </row>
    <row r="924" spans="1:24" ht="17.100000000000001" customHeight="1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U924" s="12"/>
      <c r="V924" s="12"/>
      <c r="W924" s="12"/>
      <c r="X924" s="12"/>
    </row>
    <row r="925" spans="1:24" ht="17.100000000000001" customHeight="1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U925" s="12"/>
      <c r="V925" s="12"/>
      <c r="W925" s="12"/>
      <c r="X925" s="12"/>
    </row>
    <row r="926" spans="1:24" ht="17.100000000000001" customHeight="1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U926" s="12"/>
      <c r="V926" s="12"/>
      <c r="W926" s="12"/>
      <c r="X926" s="12"/>
    </row>
    <row r="927" spans="1:24" ht="17.100000000000001" customHeight="1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U927" s="12"/>
      <c r="V927" s="12"/>
      <c r="W927" s="12"/>
      <c r="X927" s="12"/>
    </row>
    <row r="928" spans="1:24" ht="17.100000000000001" customHeight="1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U928" s="12"/>
      <c r="V928" s="12"/>
      <c r="W928" s="12"/>
      <c r="X928" s="12"/>
    </row>
    <row r="929" spans="1:24" ht="17.100000000000001" customHeight="1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U929" s="12"/>
      <c r="V929" s="12"/>
      <c r="W929" s="12"/>
      <c r="X929" s="12"/>
    </row>
    <row r="930" spans="1:24" ht="17.100000000000001" customHeight="1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U930" s="12"/>
      <c r="V930" s="12"/>
      <c r="W930" s="12"/>
      <c r="X930" s="12"/>
    </row>
    <row r="931" spans="1:24" ht="17.100000000000001" customHeight="1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U931" s="12"/>
      <c r="V931" s="12"/>
      <c r="W931" s="12"/>
      <c r="X931" s="12"/>
    </row>
    <row r="932" spans="1:24" ht="17.100000000000001" customHeight="1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U932" s="12"/>
      <c r="V932" s="12"/>
      <c r="W932" s="12"/>
      <c r="X932" s="12"/>
    </row>
    <row r="933" spans="1:24" ht="17.100000000000001" customHeight="1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U933" s="12"/>
      <c r="V933" s="12"/>
      <c r="W933" s="12"/>
      <c r="X933" s="12"/>
    </row>
    <row r="934" spans="1:24" ht="17.100000000000001" customHeight="1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U934" s="12"/>
      <c r="V934" s="12"/>
      <c r="W934" s="12"/>
      <c r="X934" s="12"/>
    </row>
    <row r="935" spans="1:24" ht="17.100000000000001" customHeight="1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U935" s="12"/>
      <c r="V935" s="12"/>
      <c r="W935" s="12"/>
      <c r="X935" s="12"/>
    </row>
    <row r="936" spans="1:24" ht="17.100000000000001" customHeight="1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U936" s="12"/>
      <c r="V936" s="12"/>
      <c r="W936" s="12"/>
      <c r="X936" s="12"/>
    </row>
    <row r="937" spans="1:24" ht="17.100000000000001" customHeight="1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U937" s="12"/>
      <c r="V937" s="12"/>
      <c r="W937" s="12"/>
      <c r="X937" s="12"/>
    </row>
    <row r="938" spans="1:24" ht="17.100000000000001" customHeight="1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U938" s="12"/>
      <c r="V938" s="12"/>
      <c r="W938" s="12"/>
      <c r="X938" s="12"/>
    </row>
    <row r="939" spans="1:24" ht="17.100000000000001" customHeight="1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U939" s="12"/>
      <c r="V939" s="12"/>
      <c r="W939" s="12"/>
      <c r="X939" s="12"/>
    </row>
    <row r="940" spans="1:24" ht="17.100000000000001" customHeight="1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U940" s="12"/>
      <c r="V940" s="12"/>
      <c r="W940" s="12"/>
      <c r="X940" s="12"/>
    </row>
    <row r="941" spans="1:24" ht="17.100000000000001" customHeight="1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U941" s="12"/>
      <c r="V941" s="12"/>
      <c r="W941" s="12"/>
      <c r="X941" s="12"/>
    </row>
    <row r="942" spans="1:24" ht="17.100000000000001" customHeight="1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U942" s="12"/>
      <c r="V942" s="12"/>
      <c r="W942" s="12"/>
      <c r="X942" s="12"/>
    </row>
    <row r="943" spans="1:24" ht="17.100000000000001" customHeight="1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U943" s="12"/>
      <c r="V943" s="12"/>
      <c r="W943" s="12"/>
      <c r="X943" s="12"/>
    </row>
    <row r="944" spans="1:24" ht="17.100000000000001" customHeight="1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U944" s="12"/>
      <c r="V944" s="12"/>
      <c r="W944" s="12"/>
      <c r="X944" s="12"/>
    </row>
    <row r="945" spans="1:24" ht="17.100000000000001" customHeight="1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U945" s="12"/>
      <c r="V945" s="12"/>
      <c r="W945" s="12"/>
      <c r="X945" s="12"/>
    </row>
    <row r="946" spans="1:24" ht="17.100000000000001" customHeight="1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U946" s="12"/>
      <c r="V946" s="12"/>
      <c r="W946" s="12"/>
      <c r="X946" s="12"/>
    </row>
    <row r="947" spans="1:24" ht="17.100000000000001" customHeight="1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U947" s="12"/>
      <c r="V947" s="12"/>
      <c r="W947" s="12"/>
      <c r="X947" s="12"/>
    </row>
    <row r="948" spans="1:24" ht="17.100000000000001" customHeight="1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U948" s="12"/>
      <c r="V948" s="12"/>
      <c r="W948" s="12"/>
      <c r="X948" s="12"/>
    </row>
    <row r="949" spans="1:24" ht="17.100000000000001" customHeight="1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U949" s="12"/>
      <c r="V949" s="12"/>
      <c r="W949" s="12"/>
      <c r="X949" s="12"/>
    </row>
    <row r="950" spans="1:24" ht="17.100000000000001" customHeight="1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U950" s="12"/>
      <c r="V950" s="12"/>
      <c r="W950" s="12"/>
      <c r="X950" s="12"/>
    </row>
    <row r="951" spans="1:24" ht="17.100000000000001" customHeight="1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U951" s="12"/>
      <c r="V951" s="12"/>
      <c r="W951" s="12"/>
      <c r="X951" s="12"/>
    </row>
    <row r="952" spans="1:24" ht="17.100000000000001" customHeight="1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U952" s="12"/>
      <c r="V952" s="12"/>
      <c r="W952" s="12"/>
      <c r="X952" s="12"/>
    </row>
    <row r="953" spans="1:24" ht="17.100000000000001" customHeight="1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U953" s="12"/>
      <c r="V953" s="12"/>
      <c r="W953" s="12"/>
      <c r="X953" s="12"/>
    </row>
    <row r="954" spans="1:24" ht="17.100000000000001" customHeight="1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U954" s="12"/>
      <c r="V954" s="12"/>
      <c r="W954" s="12"/>
      <c r="X954" s="12"/>
    </row>
    <row r="955" spans="1:24" ht="17.100000000000001" customHeight="1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U955" s="12"/>
      <c r="V955" s="12"/>
      <c r="W955" s="12"/>
      <c r="X955" s="12"/>
    </row>
    <row r="956" spans="1:24" ht="17.100000000000001" customHeight="1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U956" s="12"/>
      <c r="V956" s="12"/>
      <c r="W956" s="12"/>
      <c r="X956" s="12"/>
    </row>
    <row r="957" spans="1:24" ht="17.100000000000001" customHeight="1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U957" s="12"/>
      <c r="V957" s="12"/>
      <c r="W957" s="12"/>
      <c r="X957" s="12"/>
    </row>
    <row r="958" spans="1:24" ht="17.100000000000001" customHeight="1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U958" s="12"/>
      <c r="V958" s="12"/>
      <c r="W958" s="12"/>
      <c r="X958" s="12"/>
    </row>
    <row r="959" spans="1:24" ht="17.100000000000001" customHeight="1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U959" s="12"/>
      <c r="V959" s="12"/>
      <c r="W959" s="12"/>
      <c r="X959" s="12"/>
    </row>
    <row r="960" spans="1:24" ht="17.100000000000001" customHeight="1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U960" s="12"/>
      <c r="V960" s="12"/>
      <c r="W960" s="12"/>
      <c r="X960" s="12"/>
    </row>
    <row r="961" spans="1:24" ht="17.100000000000001" customHeight="1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U961" s="12"/>
      <c r="V961" s="12"/>
      <c r="W961" s="12"/>
      <c r="X961" s="12"/>
    </row>
    <row r="962" spans="1:24" ht="17.100000000000001" customHeight="1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U962" s="12"/>
      <c r="V962" s="12"/>
      <c r="W962" s="12"/>
      <c r="X962" s="12"/>
    </row>
    <row r="963" spans="1:24" ht="17.100000000000001" customHeight="1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U963" s="12"/>
      <c r="V963" s="12"/>
      <c r="W963" s="12"/>
      <c r="X963" s="12"/>
    </row>
    <row r="964" spans="1:24" ht="17.100000000000001" customHeight="1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U964" s="12"/>
      <c r="V964" s="12"/>
      <c r="W964" s="12"/>
      <c r="X964" s="12"/>
    </row>
    <row r="965" spans="1:24" ht="17.100000000000001" customHeight="1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U965" s="12"/>
      <c r="V965" s="12"/>
      <c r="W965" s="12"/>
      <c r="X965" s="12"/>
    </row>
    <row r="966" spans="1:24" ht="17.100000000000001" customHeight="1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U966" s="12"/>
      <c r="V966" s="12"/>
      <c r="W966" s="12"/>
      <c r="X966" s="12"/>
    </row>
    <row r="967" spans="1:24" ht="17.100000000000001" customHeight="1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U967" s="12"/>
      <c r="V967" s="12"/>
      <c r="W967" s="12"/>
      <c r="X967" s="12"/>
    </row>
    <row r="968" spans="1:24" ht="17.100000000000001" customHeight="1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U968" s="12"/>
      <c r="V968" s="12"/>
      <c r="W968" s="12"/>
      <c r="X968" s="12"/>
    </row>
    <row r="969" spans="1:24" ht="17.100000000000001" customHeight="1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U969" s="12"/>
      <c r="V969" s="12"/>
      <c r="W969" s="12"/>
      <c r="X969" s="12"/>
    </row>
    <row r="970" spans="1:24" ht="17.100000000000001" customHeight="1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U970" s="12"/>
      <c r="V970" s="12"/>
      <c r="W970" s="12"/>
      <c r="X970" s="12"/>
    </row>
    <row r="971" spans="1:24" ht="17.100000000000001" customHeight="1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U971" s="12"/>
      <c r="V971" s="12"/>
      <c r="W971" s="12"/>
      <c r="X971" s="12"/>
    </row>
    <row r="972" spans="1:24" ht="17.100000000000001" customHeight="1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U972" s="12"/>
      <c r="V972" s="12"/>
      <c r="W972" s="12"/>
      <c r="X972" s="12"/>
    </row>
    <row r="973" spans="1:24" ht="17.100000000000001" customHeight="1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U973" s="12"/>
      <c r="V973" s="12"/>
      <c r="W973" s="12"/>
      <c r="X973" s="12"/>
    </row>
    <row r="974" spans="1:24" ht="17.100000000000001" customHeight="1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U974" s="12"/>
      <c r="V974" s="12"/>
      <c r="W974" s="12"/>
      <c r="X974" s="12"/>
    </row>
    <row r="975" spans="1:24" ht="17.100000000000001" customHeight="1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U975" s="12"/>
      <c r="V975" s="12"/>
      <c r="W975" s="12"/>
      <c r="X975" s="12"/>
    </row>
    <row r="976" spans="1:24" ht="17.100000000000001" customHeight="1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U976" s="12"/>
      <c r="V976" s="12"/>
      <c r="W976" s="12"/>
      <c r="X976" s="12"/>
    </row>
    <row r="977" spans="1:24" ht="17.100000000000001" customHeight="1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U977" s="12"/>
      <c r="V977" s="12"/>
      <c r="W977" s="12"/>
      <c r="X977" s="12"/>
    </row>
    <row r="978" spans="1:24" ht="17.100000000000001" customHeight="1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U978" s="12"/>
      <c r="V978" s="12"/>
      <c r="W978" s="12"/>
      <c r="X978" s="12"/>
    </row>
    <row r="979" spans="1:24" ht="17.100000000000001" customHeight="1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U979" s="12"/>
      <c r="V979" s="12"/>
      <c r="W979" s="12"/>
      <c r="X979" s="12"/>
    </row>
    <row r="980" spans="1:24" ht="17.100000000000001" customHeight="1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U980" s="12"/>
      <c r="V980" s="12"/>
      <c r="W980" s="12"/>
      <c r="X980" s="12"/>
    </row>
    <row r="981" spans="1:24" ht="17.100000000000001" customHeight="1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U981" s="12"/>
      <c r="V981" s="12"/>
      <c r="W981" s="12"/>
      <c r="X981" s="12"/>
    </row>
    <row r="982" spans="1:24" ht="17.100000000000001" customHeight="1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U982" s="12"/>
      <c r="V982" s="12"/>
      <c r="W982" s="12"/>
      <c r="X982" s="12"/>
    </row>
    <row r="983" spans="1:24" ht="17.100000000000001" customHeight="1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U983" s="12"/>
      <c r="V983" s="12"/>
      <c r="W983" s="12"/>
      <c r="X983" s="12"/>
    </row>
    <row r="984" spans="1:24" ht="17.100000000000001" customHeight="1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U984" s="12"/>
      <c r="V984" s="12"/>
      <c r="W984" s="12"/>
      <c r="X984" s="12"/>
    </row>
    <row r="985" spans="1:24" ht="17.100000000000001" customHeight="1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U985" s="12"/>
      <c r="V985" s="12"/>
      <c r="W985" s="12"/>
      <c r="X985" s="12"/>
    </row>
    <row r="986" spans="1:24" ht="17.100000000000001" customHeight="1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U986" s="12"/>
      <c r="V986" s="12"/>
      <c r="W986" s="12"/>
      <c r="X986" s="12"/>
    </row>
    <row r="987" spans="1:24" ht="17.100000000000001" customHeight="1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U987" s="12"/>
      <c r="V987" s="12"/>
      <c r="W987" s="12"/>
      <c r="X987" s="12"/>
    </row>
    <row r="988" spans="1:24" ht="17.100000000000001" customHeight="1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U988" s="12"/>
      <c r="V988" s="12"/>
      <c r="W988" s="12"/>
      <c r="X988" s="12"/>
    </row>
    <row r="989" spans="1:24" ht="17.100000000000001" customHeight="1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U989" s="12"/>
      <c r="V989" s="12"/>
      <c r="W989" s="12"/>
      <c r="X989" s="12"/>
    </row>
    <row r="990" spans="1:24" ht="17.100000000000001" customHeight="1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U990" s="12"/>
      <c r="V990" s="12"/>
      <c r="W990" s="12"/>
      <c r="X990" s="12"/>
    </row>
    <row r="991" spans="1:24" ht="17.100000000000001" customHeight="1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U991" s="12"/>
      <c r="V991" s="12"/>
      <c r="W991" s="12"/>
      <c r="X991" s="12"/>
    </row>
    <row r="992" spans="1:24" ht="17.100000000000001" customHeight="1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U992" s="12"/>
      <c r="V992" s="12"/>
      <c r="W992" s="12"/>
      <c r="X992" s="12"/>
    </row>
    <row r="993" spans="1:24" ht="17.100000000000001" customHeight="1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U993" s="12"/>
      <c r="V993" s="12"/>
      <c r="W993" s="12"/>
      <c r="X993" s="12"/>
    </row>
    <row r="994" spans="1:24" ht="17.100000000000001" customHeight="1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U994" s="12"/>
      <c r="V994" s="12"/>
      <c r="W994" s="12"/>
      <c r="X994" s="12"/>
    </row>
    <row r="995" spans="1:24" ht="17.100000000000001" customHeight="1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U995" s="12"/>
      <c r="V995" s="12"/>
      <c r="W995" s="12"/>
      <c r="X995" s="12"/>
    </row>
    <row r="996" spans="1:24" ht="17.100000000000001" customHeight="1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U996" s="12"/>
      <c r="V996" s="12"/>
      <c r="W996" s="12"/>
      <c r="X996" s="12"/>
    </row>
    <row r="997" spans="1:24" ht="17.100000000000001" customHeight="1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U997" s="12"/>
      <c r="V997" s="12"/>
      <c r="W997" s="12"/>
      <c r="X997" s="12"/>
    </row>
    <row r="998" spans="1:24" ht="17.100000000000001" customHeight="1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U998" s="12"/>
      <c r="V998" s="12"/>
      <c r="W998" s="12"/>
      <c r="X998" s="12"/>
    </row>
    <row r="999" spans="1:24" ht="17.100000000000001" customHeight="1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U999" s="12"/>
      <c r="V999" s="12"/>
      <c r="W999" s="12"/>
      <c r="X999" s="12"/>
    </row>
    <row r="1000" spans="1:24" ht="17.100000000000001" customHeight="1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U1000" s="12"/>
      <c r="V1000" s="12"/>
      <c r="W1000" s="12"/>
      <c r="X1000" s="12"/>
    </row>
    <row r="1001" spans="1:24" ht="17.100000000000001" customHeight="1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U1001" s="12"/>
      <c r="V1001" s="12"/>
      <c r="W1001" s="12"/>
      <c r="X1001" s="12"/>
    </row>
    <row r="1002" spans="1:24" ht="17.100000000000001" customHeight="1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U1002" s="12"/>
      <c r="V1002" s="12"/>
      <c r="W1002" s="12"/>
      <c r="X1002" s="12"/>
    </row>
    <row r="1003" spans="1:24" ht="17.100000000000001" customHeight="1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U1003" s="12"/>
      <c r="V1003" s="12"/>
      <c r="W1003" s="12"/>
      <c r="X1003" s="12"/>
    </row>
    <row r="1004" spans="1:24" ht="17.100000000000001" customHeight="1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U1004" s="12"/>
      <c r="V1004" s="12"/>
      <c r="W1004" s="12"/>
      <c r="X1004" s="12"/>
    </row>
    <row r="1005" spans="1:24" ht="17.100000000000001" customHeight="1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U1005" s="12"/>
      <c r="V1005" s="12"/>
      <c r="W1005" s="12"/>
      <c r="X1005" s="12"/>
    </row>
    <row r="1006" spans="1:24" ht="17.100000000000001" customHeight="1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U1006" s="12"/>
      <c r="V1006" s="12"/>
      <c r="W1006" s="12"/>
      <c r="X1006" s="12"/>
    </row>
    <row r="1007" spans="1:24" ht="17.100000000000001" customHeight="1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U1007" s="12"/>
      <c r="V1007" s="12"/>
      <c r="W1007" s="12"/>
      <c r="X1007" s="12"/>
    </row>
    <row r="1008" spans="1:24" ht="17.100000000000001" customHeight="1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U1008" s="12"/>
      <c r="V1008" s="12"/>
      <c r="W1008" s="12"/>
      <c r="X1008" s="12"/>
    </row>
    <row r="1009" spans="1:24" ht="17.100000000000001" customHeight="1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U1009" s="12"/>
      <c r="V1009" s="12"/>
      <c r="W1009" s="12"/>
      <c r="X1009" s="12"/>
    </row>
    <row r="1010" spans="1:24" ht="17.100000000000001" customHeight="1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U1010" s="12"/>
      <c r="V1010" s="12"/>
      <c r="W1010" s="12"/>
      <c r="X1010" s="12"/>
    </row>
    <row r="1011" spans="1:24" ht="17.100000000000001" customHeight="1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U1011" s="12"/>
      <c r="V1011" s="12"/>
      <c r="W1011" s="12"/>
      <c r="X1011" s="12"/>
    </row>
    <row r="1012" spans="1:24" ht="17.100000000000001" customHeight="1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U1012" s="12"/>
      <c r="V1012" s="12"/>
      <c r="W1012" s="12"/>
      <c r="X1012" s="12"/>
    </row>
    <row r="1013" spans="1:24" ht="17.100000000000001" customHeight="1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U1013" s="12"/>
      <c r="V1013" s="12"/>
      <c r="W1013" s="12"/>
      <c r="X1013" s="12"/>
    </row>
    <row r="1014" spans="1:24" ht="17.100000000000001" customHeight="1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U1014" s="12"/>
      <c r="V1014" s="12"/>
      <c r="W1014" s="12"/>
      <c r="X1014" s="12"/>
    </row>
    <row r="1015" spans="1:24" ht="17.100000000000001" customHeight="1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U1015" s="12"/>
      <c r="V1015" s="12"/>
      <c r="W1015" s="12"/>
      <c r="X1015" s="12"/>
    </row>
    <row r="1016" spans="1:24" ht="17.100000000000001" customHeight="1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U1016" s="12"/>
      <c r="V1016" s="12"/>
      <c r="W1016" s="12"/>
      <c r="X1016" s="12"/>
    </row>
    <row r="1017" spans="1:24" ht="17.100000000000001" customHeight="1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U1017" s="12"/>
      <c r="V1017" s="12"/>
      <c r="W1017" s="12"/>
      <c r="X1017" s="12"/>
    </row>
    <row r="1018" spans="1:24" ht="17.100000000000001" customHeight="1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U1018" s="12"/>
      <c r="V1018" s="12"/>
      <c r="W1018" s="12"/>
      <c r="X1018" s="12"/>
    </row>
    <row r="1019" spans="1:24" ht="17.100000000000001" customHeight="1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U1019" s="12"/>
      <c r="V1019" s="12"/>
      <c r="W1019" s="12"/>
      <c r="X1019" s="12"/>
    </row>
    <row r="1020" spans="1:24" ht="17.100000000000001" customHeight="1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U1020" s="12"/>
      <c r="V1020" s="12"/>
      <c r="W1020" s="12"/>
      <c r="X1020" s="12"/>
    </row>
    <row r="1021" spans="1:24" ht="17.100000000000001" customHeight="1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U1021" s="12"/>
      <c r="V1021" s="12"/>
      <c r="W1021" s="12"/>
      <c r="X1021" s="12"/>
    </row>
    <row r="1022" spans="1:24" ht="17.100000000000001" customHeight="1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U1022" s="12"/>
      <c r="V1022" s="12"/>
      <c r="W1022" s="12"/>
      <c r="X1022" s="12"/>
    </row>
    <row r="1023" spans="1:24" ht="17.100000000000001" customHeight="1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U1023" s="12"/>
      <c r="V1023" s="12"/>
      <c r="W1023" s="12"/>
      <c r="X1023" s="12"/>
    </row>
    <row r="1024" spans="1:24" ht="17.100000000000001" customHeight="1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U1024" s="12"/>
      <c r="V1024" s="12"/>
      <c r="W1024" s="12"/>
      <c r="X1024" s="12"/>
    </row>
    <row r="1025" spans="1:24" ht="17.100000000000001" customHeight="1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U1025" s="12"/>
      <c r="V1025" s="12"/>
      <c r="W1025" s="12"/>
      <c r="X1025" s="12"/>
    </row>
    <row r="1026" spans="1:24" ht="17.100000000000001" customHeight="1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U1026" s="12"/>
      <c r="V1026" s="12"/>
      <c r="W1026" s="12"/>
      <c r="X1026" s="12"/>
    </row>
    <row r="1027" spans="1:24" ht="17.100000000000001" customHeight="1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U1027" s="12"/>
      <c r="V1027" s="12"/>
      <c r="W1027" s="12"/>
      <c r="X1027" s="12"/>
    </row>
    <row r="1028" spans="1:24" ht="17.100000000000001" customHeight="1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U1028" s="12"/>
      <c r="V1028" s="12"/>
      <c r="W1028" s="12"/>
      <c r="X1028" s="12"/>
    </row>
    <row r="1029" spans="1:24" ht="17.100000000000001" customHeight="1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U1029" s="12"/>
      <c r="V1029" s="12"/>
      <c r="W1029" s="12"/>
      <c r="X1029" s="12"/>
    </row>
    <row r="1030" spans="1:24" ht="17.100000000000001" customHeight="1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U1030" s="12"/>
      <c r="V1030" s="12"/>
      <c r="W1030" s="12"/>
      <c r="X1030" s="12"/>
    </row>
    <row r="1031" spans="1:24" ht="17.100000000000001" customHeight="1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U1031" s="12"/>
      <c r="V1031" s="12"/>
      <c r="W1031" s="12"/>
      <c r="X1031" s="12"/>
    </row>
    <row r="1032" spans="1:24" ht="17.100000000000001" customHeight="1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U1032" s="12"/>
      <c r="V1032" s="12"/>
      <c r="W1032" s="12"/>
      <c r="X1032" s="12"/>
    </row>
    <row r="1033" spans="1:24" ht="17.100000000000001" customHeight="1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U1033" s="12"/>
      <c r="V1033" s="12"/>
      <c r="W1033" s="12"/>
      <c r="X1033" s="12"/>
    </row>
    <row r="1034" spans="1:24" ht="17.100000000000001" customHeight="1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U1034" s="12"/>
      <c r="V1034" s="12"/>
      <c r="W1034" s="12"/>
      <c r="X1034" s="12"/>
    </row>
    <row r="1035" spans="1:24" ht="17.100000000000001" customHeight="1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U1035" s="12"/>
      <c r="V1035" s="12"/>
      <c r="W1035" s="12"/>
      <c r="X1035" s="12"/>
    </row>
    <row r="1036" spans="1:24" ht="17.100000000000001" customHeight="1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U1036" s="12"/>
      <c r="V1036" s="12"/>
      <c r="W1036" s="12"/>
      <c r="X1036" s="12"/>
    </row>
    <row r="1037" spans="1:24" ht="17.100000000000001" customHeight="1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U1037" s="12"/>
      <c r="V1037" s="12"/>
      <c r="W1037" s="12"/>
      <c r="X1037" s="12"/>
    </row>
    <row r="1038" spans="1:24" ht="17.100000000000001" customHeight="1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U1038" s="12"/>
      <c r="V1038" s="12"/>
      <c r="W1038" s="12"/>
      <c r="X1038" s="12"/>
    </row>
    <row r="1039" spans="1:24" ht="17.100000000000001" customHeight="1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U1039" s="12"/>
      <c r="V1039" s="12"/>
      <c r="W1039" s="12"/>
      <c r="X1039" s="12"/>
    </row>
    <row r="1040" spans="1:24" ht="17.100000000000001" customHeight="1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U1040" s="12"/>
      <c r="V1040" s="12"/>
      <c r="W1040" s="12"/>
      <c r="X1040" s="12"/>
    </row>
    <row r="1041" spans="1:24" ht="17.100000000000001" customHeight="1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U1041" s="12"/>
      <c r="V1041" s="12"/>
      <c r="W1041" s="12"/>
      <c r="X1041" s="12"/>
    </row>
    <row r="1042" spans="1:24" ht="17.100000000000001" customHeight="1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U1042" s="12"/>
      <c r="V1042" s="12"/>
      <c r="W1042" s="12"/>
      <c r="X1042" s="12"/>
    </row>
    <row r="1043" spans="1:24" ht="17.100000000000001" customHeight="1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U1043" s="12"/>
      <c r="V1043" s="12"/>
      <c r="W1043" s="12"/>
      <c r="X1043" s="12"/>
    </row>
    <row r="1044" spans="1:24" ht="17.100000000000001" customHeight="1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U1044" s="12"/>
      <c r="V1044" s="12"/>
      <c r="W1044" s="12"/>
      <c r="X1044" s="12"/>
    </row>
    <row r="1045" spans="1:24" ht="17.100000000000001" customHeight="1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U1045" s="12"/>
      <c r="V1045" s="12"/>
      <c r="W1045" s="12"/>
      <c r="X1045" s="12"/>
    </row>
    <row r="1046" spans="1:24" ht="17.100000000000001" customHeight="1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U1046" s="12"/>
      <c r="V1046" s="12"/>
      <c r="W1046" s="12"/>
      <c r="X1046" s="12"/>
    </row>
    <row r="1047" spans="1:24" ht="17.100000000000001" customHeight="1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U1047" s="12"/>
      <c r="V1047" s="12"/>
      <c r="W1047" s="12"/>
      <c r="X1047" s="12"/>
    </row>
    <row r="1048" spans="1:24" ht="17.100000000000001" customHeight="1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U1048" s="12"/>
      <c r="V1048" s="12"/>
      <c r="W1048" s="12"/>
      <c r="X1048" s="12"/>
    </row>
    <row r="1049" spans="1:24" ht="17.100000000000001" customHeight="1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U1049" s="12"/>
      <c r="V1049" s="12"/>
      <c r="W1049" s="12"/>
      <c r="X1049" s="12"/>
    </row>
    <row r="1050" spans="1:24" ht="17.100000000000001" customHeight="1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U1050" s="12"/>
      <c r="V1050" s="12"/>
      <c r="W1050" s="12"/>
      <c r="X1050" s="12"/>
    </row>
    <row r="1051" spans="1:24" ht="17.100000000000001" customHeight="1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U1051" s="12"/>
      <c r="V1051" s="12"/>
      <c r="W1051" s="12"/>
      <c r="X1051" s="12"/>
    </row>
    <row r="1052" spans="1:24" ht="17.100000000000001" customHeight="1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U1052" s="12"/>
      <c r="V1052" s="12"/>
      <c r="W1052" s="12"/>
      <c r="X1052" s="12"/>
    </row>
    <row r="1053" spans="1:24" ht="17.100000000000001" customHeight="1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U1053" s="12"/>
      <c r="V1053" s="12"/>
      <c r="W1053" s="12"/>
      <c r="X1053" s="12"/>
    </row>
    <row r="1054" spans="1:24" ht="17.100000000000001" customHeight="1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U1054" s="12"/>
      <c r="V1054" s="12"/>
      <c r="W1054" s="12"/>
      <c r="X1054" s="12"/>
    </row>
    <row r="1055" spans="1:24" ht="17.100000000000001" customHeight="1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U1055" s="12"/>
      <c r="V1055" s="12"/>
      <c r="W1055" s="12"/>
      <c r="X1055" s="12"/>
    </row>
    <row r="1056" spans="1:24" ht="17.100000000000001" customHeight="1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U1056" s="12"/>
      <c r="V1056" s="12"/>
      <c r="W1056" s="12"/>
      <c r="X1056" s="12"/>
    </row>
    <row r="1057" spans="1:24" ht="17.100000000000001" customHeight="1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U1057" s="12"/>
      <c r="V1057" s="12"/>
      <c r="W1057" s="12"/>
      <c r="X1057" s="12"/>
    </row>
    <row r="1058" spans="1:24" ht="17.100000000000001" customHeight="1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U1058" s="12"/>
      <c r="V1058" s="12"/>
      <c r="W1058" s="12"/>
      <c r="X1058" s="12"/>
    </row>
    <row r="1059" spans="1:24" ht="17.100000000000001" customHeight="1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U1059" s="12"/>
      <c r="V1059" s="12"/>
      <c r="W1059" s="12"/>
      <c r="X1059" s="12"/>
    </row>
    <row r="1060" spans="1:24" ht="17.100000000000001" customHeight="1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U1060" s="12"/>
      <c r="V1060" s="12"/>
      <c r="W1060" s="12"/>
      <c r="X1060" s="12"/>
    </row>
    <row r="1061" spans="1:24" ht="17.100000000000001" customHeight="1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U1061" s="12"/>
      <c r="V1061" s="12"/>
      <c r="W1061" s="12"/>
      <c r="X1061" s="12"/>
    </row>
    <row r="1062" spans="1:24" ht="17.100000000000001" customHeight="1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U1062" s="12"/>
      <c r="V1062" s="12"/>
      <c r="W1062" s="12"/>
      <c r="X1062" s="12"/>
    </row>
    <row r="1063" spans="1:24" ht="17.100000000000001" customHeight="1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U1063" s="12"/>
      <c r="V1063" s="12"/>
      <c r="W1063" s="12"/>
      <c r="X1063" s="12"/>
    </row>
    <row r="1064" spans="1:24" ht="17.100000000000001" customHeight="1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U1064" s="12"/>
      <c r="V1064" s="12"/>
      <c r="W1064" s="12"/>
      <c r="X1064" s="12"/>
    </row>
    <row r="1065" spans="1:24" ht="17.100000000000001" customHeight="1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U1065" s="12"/>
      <c r="V1065" s="12"/>
      <c r="W1065" s="12"/>
      <c r="X1065" s="12"/>
    </row>
    <row r="1066" spans="1:24" ht="17.100000000000001" customHeight="1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U1066" s="12"/>
      <c r="V1066" s="12"/>
      <c r="W1066" s="12"/>
      <c r="X1066" s="12"/>
    </row>
    <row r="1067" spans="1:24" ht="17.100000000000001" customHeight="1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U1067" s="12"/>
      <c r="V1067" s="12"/>
      <c r="W1067" s="12"/>
      <c r="X1067" s="12"/>
    </row>
    <row r="1068" spans="1:24" ht="17.100000000000001" customHeight="1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U1068" s="12"/>
      <c r="V1068" s="12"/>
      <c r="W1068" s="12"/>
      <c r="X1068" s="12"/>
    </row>
    <row r="1069" spans="1:24" ht="17.100000000000001" customHeight="1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U1069" s="12"/>
      <c r="V1069" s="12"/>
      <c r="W1069" s="12"/>
      <c r="X1069" s="12"/>
    </row>
    <row r="1070" spans="1:24" ht="17.100000000000001" customHeight="1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U1070" s="12"/>
      <c r="V1070" s="12"/>
      <c r="W1070" s="12"/>
      <c r="X1070" s="12"/>
    </row>
    <row r="1071" spans="1:24" ht="17.100000000000001" customHeight="1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U1071" s="12"/>
      <c r="V1071" s="12"/>
      <c r="W1071" s="12"/>
      <c r="X1071" s="12"/>
    </row>
    <row r="1072" spans="1:24" ht="17.100000000000001" customHeight="1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U1072" s="12"/>
      <c r="V1072" s="12"/>
      <c r="W1072" s="12"/>
      <c r="X1072" s="12"/>
    </row>
    <row r="1073" spans="1:24" ht="17.100000000000001" customHeight="1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U1073" s="12"/>
      <c r="V1073" s="12"/>
      <c r="W1073" s="12"/>
      <c r="X1073" s="12"/>
    </row>
    <row r="1074" spans="1:24" ht="17.100000000000001" customHeight="1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U1074" s="12"/>
      <c r="V1074" s="12"/>
      <c r="W1074" s="12"/>
      <c r="X1074" s="12"/>
    </row>
    <row r="1075" spans="1:24" ht="17.100000000000001" customHeight="1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U1075" s="12"/>
      <c r="V1075" s="12"/>
      <c r="W1075" s="12"/>
      <c r="X1075" s="12"/>
    </row>
    <row r="1076" spans="1:24" ht="17.100000000000001" customHeight="1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U1076" s="12"/>
      <c r="V1076" s="12"/>
      <c r="W1076" s="12"/>
      <c r="X1076" s="12"/>
    </row>
    <row r="1077" spans="1:24" ht="17.100000000000001" customHeight="1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U1077" s="12"/>
      <c r="V1077" s="12"/>
      <c r="W1077" s="12"/>
      <c r="X1077" s="12"/>
    </row>
    <row r="1078" spans="1:24" ht="17.100000000000001" customHeight="1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U1078" s="12"/>
      <c r="V1078" s="12"/>
      <c r="W1078" s="12"/>
      <c r="X1078" s="12"/>
    </row>
    <row r="1079" spans="1:24" ht="17.100000000000001" customHeight="1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U1079" s="12"/>
      <c r="V1079" s="12"/>
      <c r="W1079" s="12"/>
      <c r="X1079" s="12"/>
    </row>
    <row r="1080" spans="1:24" ht="17.100000000000001" customHeight="1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U1080" s="12"/>
      <c r="V1080" s="12"/>
      <c r="W1080" s="12"/>
      <c r="X1080" s="12"/>
    </row>
    <row r="1081" spans="1:24" ht="17.100000000000001" customHeight="1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U1081" s="12"/>
      <c r="V1081" s="12"/>
      <c r="W1081" s="12"/>
      <c r="X1081" s="12"/>
    </row>
    <row r="1082" spans="1:24" ht="17.100000000000001" customHeight="1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U1082" s="12"/>
      <c r="V1082" s="12"/>
      <c r="W1082" s="12"/>
      <c r="X1082" s="12"/>
    </row>
    <row r="1083" spans="1:24" ht="17.100000000000001" customHeight="1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U1083" s="12"/>
      <c r="V1083" s="12"/>
      <c r="W1083" s="12"/>
      <c r="X1083" s="12"/>
    </row>
    <row r="1084" spans="1:24" ht="17.100000000000001" customHeight="1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U1084" s="12"/>
      <c r="V1084" s="12"/>
      <c r="W1084" s="12"/>
      <c r="X1084" s="12"/>
    </row>
    <row r="1085" spans="1:24" ht="17.100000000000001" customHeight="1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U1085" s="12"/>
      <c r="V1085" s="12"/>
      <c r="W1085" s="12"/>
      <c r="X1085" s="12"/>
    </row>
    <row r="1086" spans="1:24" ht="17.100000000000001" customHeight="1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U1086" s="12"/>
      <c r="V1086" s="12"/>
      <c r="W1086" s="12"/>
      <c r="X1086" s="12"/>
    </row>
    <row r="1087" spans="1:24" ht="17.100000000000001" customHeight="1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U1087" s="12"/>
      <c r="V1087" s="12"/>
      <c r="W1087" s="12"/>
      <c r="X1087" s="12"/>
    </row>
    <row r="1088" spans="1:24" ht="17.100000000000001" customHeight="1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U1088" s="12"/>
      <c r="V1088" s="12"/>
      <c r="W1088" s="12"/>
      <c r="X1088" s="12"/>
    </row>
    <row r="1089" spans="1:24" ht="17.100000000000001" customHeight="1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U1089" s="12"/>
      <c r="V1089" s="12"/>
      <c r="W1089" s="12"/>
      <c r="X1089" s="12"/>
    </row>
    <row r="1090" spans="1:24" ht="17.100000000000001" customHeight="1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U1090" s="12"/>
      <c r="V1090" s="12"/>
      <c r="W1090" s="12"/>
      <c r="X1090" s="12"/>
    </row>
    <row r="1091" spans="1:24" ht="17.100000000000001" customHeight="1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U1091" s="12"/>
      <c r="V1091" s="12"/>
      <c r="W1091" s="12"/>
      <c r="X1091" s="12"/>
    </row>
    <row r="1092" spans="1:24" ht="17.100000000000001" customHeight="1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U1092" s="12"/>
      <c r="V1092" s="12"/>
      <c r="W1092" s="12"/>
      <c r="X1092" s="12"/>
    </row>
    <row r="1093" spans="1:24" ht="17.100000000000001" customHeight="1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U1093" s="12"/>
      <c r="V1093" s="12"/>
      <c r="W1093" s="12"/>
      <c r="X1093" s="12"/>
    </row>
    <row r="1094" spans="1:24" ht="17.100000000000001" customHeight="1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U1094" s="12"/>
      <c r="V1094" s="12"/>
      <c r="W1094" s="12"/>
      <c r="X1094" s="12"/>
    </row>
    <row r="1095" spans="1:24" ht="17.100000000000001" customHeight="1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U1095" s="12"/>
      <c r="V1095" s="12"/>
      <c r="W1095" s="12"/>
      <c r="X1095" s="12"/>
    </row>
    <row r="1096" spans="1:24" ht="17.100000000000001" customHeight="1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U1096" s="12"/>
      <c r="V1096" s="12"/>
      <c r="W1096" s="12"/>
      <c r="X1096" s="12"/>
    </row>
    <row r="1097" spans="1:24" ht="17.100000000000001" customHeight="1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U1097" s="12"/>
      <c r="V1097" s="12"/>
      <c r="W1097" s="12"/>
      <c r="X1097" s="12"/>
    </row>
    <row r="1098" spans="1:24" ht="17.100000000000001" customHeight="1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U1098" s="12"/>
      <c r="V1098" s="12"/>
      <c r="W1098" s="12"/>
      <c r="X1098" s="12"/>
    </row>
    <row r="1099" spans="1:24" ht="17.100000000000001" customHeight="1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U1099" s="12"/>
      <c r="V1099" s="12"/>
      <c r="W1099" s="12"/>
      <c r="X1099" s="12"/>
    </row>
    <row r="1100" spans="1:24" ht="17.100000000000001" customHeight="1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U1100" s="12"/>
      <c r="V1100" s="12"/>
      <c r="W1100" s="12"/>
      <c r="X1100" s="12"/>
    </row>
    <row r="1101" spans="1:24" ht="17.100000000000001" customHeight="1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U1101" s="12"/>
      <c r="V1101" s="12"/>
      <c r="W1101" s="12"/>
      <c r="X1101" s="12"/>
    </row>
    <row r="1102" spans="1:24" ht="17.100000000000001" customHeight="1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U1102" s="12"/>
      <c r="V1102" s="12"/>
      <c r="W1102" s="12"/>
      <c r="X1102" s="12"/>
    </row>
    <row r="1103" spans="1:24" ht="17.100000000000001" customHeight="1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U1103" s="12"/>
      <c r="V1103" s="12"/>
      <c r="W1103" s="12"/>
      <c r="X1103" s="12"/>
    </row>
    <row r="1104" spans="1:24" ht="17.100000000000001" customHeight="1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U1104" s="12"/>
      <c r="V1104" s="12"/>
      <c r="W1104" s="12"/>
      <c r="X1104" s="12"/>
    </row>
    <row r="1105" spans="1:24" ht="17.100000000000001" customHeight="1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U1105" s="12"/>
      <c r="V1105" s="12"/>
      <c r="W1105" s="12"/>
      <c r="X1105" s="12"/>
    </row>
    <row r="1106" spans="1:24" ht="17.100000000000001" customHeight="1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U1106" s="12"/>
      <c r="V1106" s="12"/>
      <c r="W1106" s="12"/>
      <c r="X1106" s="12"/>
    </row>
    <row r="1107" spans="1:24" ht="17.100000000000001" customHeight="1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U1107" s="12"/>
      <c r="V1107" s="12"/>
      <c r="W1107" s="12"/>
      <c r="X1107" s="12"/>
    </row>
    <row r="1108" spans="1:24" ht="17.100000000000001" customHeight="1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U1108" s="12"/>
      <c r="V1108" s="12"/>
      <c r="W1108" s="12"/>
      <c r="X1108" s="12"/>
    </row>
    <row r="1109" spans="1:24" ht="17.100000000000001" customHeight="1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U1109" s="12"/>
      <c r="V1109" s="12"/>
      <c r="W1109" s="12"/>
      <c r="X1109" s="12"/>
    </row>
    <row r="1110" spans="1:24" ht="17.100000000000001" customHeight="1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U1110" s="12"/>
      <c r="V1110" s="12"/>
      <c r="W1110" s="12"/>
      <c r="X1110" s="12"/>
    </row>
    <row r="1111" spans="1:24" ht="17.100000000000001" customHeight="1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U1111" s="12"/>
      <c r="V1111" s="12"/>
      <c r="W1111" s="12"/>
      <c r="X1111" s="12"/>
    </row>
    <row r="1112" spans="1:24" ht="17.100000000000001" customHeight="1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U1112" s="12"/>
      <c r="V1112" s="12"/>
      <c r="W1112" s="12"/>
      <c r="X1112" s="12"/>
    </row>
    <row r="1113" spans="1:24" ht="17.100000000000001" customHeight="1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U1113" s="12"/>
      <c r="V1113" s="12"/>
      <c r="W1113" s="12"/>
      <c r="X1113" s="12"/>
    </row>
    <row r="1114" spans="1:24" ht="17.100000000000001" customHeight="1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U1114" s="12"/>
      <c r="V1114" s="12"/>
      <c r="W1114" s="12"/>
      <c r="X1114" s="12"/>
    </row>
    <row r="1115" spans="1:24" ht="17.100000000000001" customHeight="1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U1115" s="12"/>
      <c r="V1115" s="12"/>
      <c r="W1115" s="12"/>
      <c r="X1115" s="12"/>
    </row>
    <row r="1116" spans="1:24" ht="17.100000000000001" customHeight="1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U1116" s="12"/>
      <c r="V1116" s="12"/>
      <c r="W1116" s="12"/>
      <c r="X1116" s="12"/>
    </row>
    <row r="1117" spans="1:24" ht="17.100000000000001" customHeight="1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U1117" s="12"/>
      <c r="V1117" s="12"/>
      <c r="W1117" s="12"/>
      <c r="X1117" s="12"/>
    </row>
    <row r="1118" spans="1:24" ht="17.100000000000001" customHeight="1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U1118" s="12"/>
      <c r="V1118" s="12"/>
      <c r="W1118" s="12"/>
      <c r="X1118" s="12"/>
    </row>
    <row r="1119" spans="1:24" ht="17.100000000000001" customHeight="1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U1119" s="12"/>
      <c r="V1119" s="12"/>
      <c r="W1119" s="12"/>
      <c r="X1119" s="12"/>
    </row>
    <row r="1120" spans="1:24" ht="17.100000000000001" customHeight="1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U1120" s="12"/>
      <c r="V1120" s="12"/>
      <c r="W1120" s="12"/>
      <c r="X1120" s="12"/>
    </row>
    <row r="1121" spans="1:24" ht="17.100000000000001" customHeight="1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U1121" s="12"/>
      <c r="V1121" s="12"/>
      <c r="W1121" s="12"/>
      <c r="X1121" s="12"/>
    </row>
    <row r="1122" spans="1:24" ht="17.100000000000001" customHeight="1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U1122" s="12"/>
      <c r="V1122" s="12"/>
      <c r="W1122" s="12"/>
      <c r="X1122" s="12"/>
    </row>
    <row r="1123" spans="1:24" ht="17.100000000000001" customHeight="1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U1123" s="12"/>
      <c r="V1123" s="12"/>
      <c r="W1123" s="12"/>
      <c r="X1123" s="12"/>
    </row>
    <row r="1124" spans="1:24" ht="17.100000000000001" customHeight="1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U1124" s="12"/>
      <c r="V1124" s="12"/>
      <c r="W1124" s="12"/>
      <c r="X1124" s="12"/>
    </row>
    <row r="1125" spans="1:24" ht="17.100000000000001" customHeight="1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U1125" s="12"/>
      <c r="V1125" s="12"/>
      <c r="W1125" s="12"/>
      <c r="X1125" s="12"/>
    </row>
    <row r="1126" spans="1:24" ht="17.100000000000001" customHeight="1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U1126" s="12"/>
      <c r="V1126" s="12"/>
      <c r="W1126" s="12"/>
      <c r="X1126" s="12"/>
    </row>
    <row r="1127" spans="1:24" ht="17.100000000000001" customHeight="1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U1127" s="12"/>
      <c r="V1127" s="12"/>
      <c r="W1127" s="12"/>
      <c r="X1127" s="12"/>
    </row>
    <row r="1128" spans="1:24" ht="17.100000000000001" customHeight="1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U1128" s="12"/>
      <c r="V1128" s="12"/>
      <c r="W1128" s="12"/>
      <c r="X1128" s="12"/>
    </row>
    <row r="1129" spans="1:24" ht="17.100000000000001" customHeight="1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U1129" s="12"/>
      <c r="V1129" s="12"/>
      <c r="W1129" s="12"/>
      <c r="X1129" s="12"/>
    </row>
    <row r="1130" spans="1:24" ht="17.100000000000001" customHeight="1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U1130" s="12"/>
      <c r="V1130" s="12"/>
      <c r="W1130" s="12"/>
      <c r="X1130" s="12"/>
    </row>
    <row r="1131" spans="1:24" ht="17.100000000000001" customHeight="1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U1131" s="12"/>
      <c r="V1131" s="12"/>
      <c r="W1131" s="12"/>
      <c r="X1131" s="12"/>
    </row>
    <row r="1132" spans="1:24" ht="17.100000000000001" customHeight="1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U1132" s="12"/>
      <c r="V1132" s="12"/>
      <c r="W1132" s="12"/>
      <c r="X1132" s="12"/>
    </row>
    <row r="1133" spans="1:24" ht="17.100000000000001" customHeight="1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U1133" s="12"/>
      <c r="V1133" s="12"/>
      <c r="W1133" s="12"/>
      <c r="X1133" s="12"/>
    </row>
    <row r="1134" spans="1:24" ht="17.100000000000001" customHeight="1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U1134" s="12"/>
      <c r="V1134" s="12"/>
      <c r="W1134" s="12"/>
      <c r="X1134" s="12"/>
    </row>
    <row r="1135" spans="1:24" ht="17.100000000000001" customHeight="1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U1135" s="12"/>
      <c r="V1135" s="12"/>
      <c r="W1135" s="12"/>
      <c r="X1135" s="12"/>
    </row>
    <row r="1136" spans="1:24" ht="17.100000000000001" customHeight="1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U1136" s="12"/>
      <c r="V1136" s="12"/>
      <c r="W1136" s="12"/>
      <c r="X1136" s="12"/>
    </row>
    <row r="1137" spans="1:24" ht="17.100000000000001" customHeight="1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U1137" s="12"/>
      <c r="V1137" s="12"/>
      <c r="W1137" s="12"/>
      <c r="X1137" s="12"/>
    </row>
    <row r="1138" spans="1:24" ht="17.100000000000001" customHeight="1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U1138" s="12"/>
      <c r="V1138" s="12"/>
      <c r="W1138" s="12"/>
      <c r="X1138" s="12"/>
    </row>
    <row r="1139" spans="1:24" ht="17.100000000000001" customHeight="1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U1139" s="12"/>
      <c r="V1139" s="12"/>
      <c r="W1139" s="12"/>
      <c r="X1139" s="12"/>
    </row>
    <row r="1140" spans="1:24" ht="17.100000000000001" customHeight="1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U1140" s="12"/>
      <c r="V1140" s="12"/>
      <c r="W1140" s="12"/>
      <c r="X1140" s="12"/>
    </row>
    <row r="1141" spans="1:24" ht="17.100000000000001" customHeight="1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U1141" s="12"/>
      <c r="V1141" s="12"/>
      <c r="W1141" s="12"/>
      <c r="X1141" s="12"/>
    </row>
    <row r="1142" spans="1:24" ht="17.100000000000001" customHeight="1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U1142" s="12"/>
      <c r="V1142" s="12"/>
      <c r="W1142" s="12"/>
      <c r="X1142" s="12"/>
    </row>
    <row r="1143" spans="1:24" ht="17.100000000000001" customHeight="1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U1143" s="12"/>
      <c r="V1143" s="12"/>
      <c r="W1143" s="12"/>
      <c r="X1143" s="12"/>
    </row>
    <row r="1144" spans="1:24" ht="17.100000000000001" customHeight="1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U1144" s="12"/>
      <c r="V1144" s="12"/>
      <c r="W1144" s="12"/>
      <c r="X1144" s="12"/>
    </row>
    <row r="1145" spans="1:24" ht="17.100000000000001" customHeight="1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U1145" s="12"/>
      <c r="V1145" s="12"/>
      <c r="W1145" s="12"/>
      <c r="X1145" s="12"/>
    </row>
    <row r="1146" spans="1:24" ht="17.100000000000001" customHeight="1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U1146" s="12"/>
      <c r="V1146" s="12"/>
      <c r="W1146" s="12"/>
      <c r="X1146" s="12"/>
    </row>
    <row r="1147" spans="1:24" ht="17.100000000000001" customHeight="1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U1147" s="12"/>
      <c r="V1147" s="12"/>
      <c r="W1147" s="12"/>
      <c r="X1147" s="12"/>
    </row>
    <row r="1148" spans="1:24" ht="17.100000000000001" customHeight="1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U1148" s="12"/>
      <c r="V1148" s="12"/>
      <c r="W1148" s="12"/>
      <c r="X1148" s="12"/>
    </row>
    <row r="1149" spans="1:24" ht="17.100000000000001" customHeight="1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U1149" s="12"/>
      <c r="V1149" s="12"/>
      <c r="W1149" s="12"/>
      <c r="X1149" s="12"/>
    </row>
    <row r="1150" spans="1:24" ht="17.100000000000001" customHeight="1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U1150" s="12"/>
      <c r="V1150" s="12"/>
      <c r="W1150" s="12"/>
      <c r="X1150" s="12"/>
    </row>
    <row r="1151" spans="1:24" ht="17.100000000000001" customHeight="1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U1151" s="12"/>
      <c r="V1151" s="12"/>
      <c r="W1151" s="12"/>
      <c r="X1151" s="12"/>
    </row>
    <row r="1152" spans="1:24" ht="17.100000000000001" customHeight="1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U1152" s="12"/>
      <c r="V1152" s="12"/>
      <c r="W1152" s="12"/>
      <c r="X1152" s="12"/>
    </row>
    <row r="1153" spans="1:24" ht="17.100000000000001" customHeight="1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U1153" s="12"/>
      <c r="V1153" s="12"/>
      <c r="W1153" s="12"/>
      <c r="X1153" s="12"/>
    </row>
    <row r="1154" spans="1:24" ht="17.100000000000001" customHeight="1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U1154" s="12"/>
      <c r="V1154" s="12"/>
      <c r="W1154" s="12"/>
      <c r="X1154" s="12"/>
    </row>
    <row r="1155" spans="1:24" ht="17.100000000000001" customHeight="1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U1155" s="12"/>
      <c r="V1155" s="12"/>
      <c r="W1155" s="12"/>
      <c r="X1155" s="12"/>
    </row>
    <row r="1156" spans="1:24" ht="17.100000000000001" customHeight="1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U1156" s="12"/>
      <c r="V1156" s="12"/>
      <c r="W1156" s="12"/>
      <c r="X1156" s="12"/>
    </row>
    <row r="1157" spans="1:24" ht="17.100000000000001" customHeight="1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U1157" s="12"/>
      <c r="V1157" s="12"/>
      <c r="W1157" s="12"/>
      <c r="X1157" s="12"/>
    </row>
    <row r="1158" spans="1:24" ht="17.100000000000001" customHeight="1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U1158" s="12"/>
      <c r="V1158" s="12"/>
      <c r="W1158" s="12"/>
      <c r="X1158" s="12"/>
    </row>
    <row r="1159" spans="1:24" ht="17.100000000000001" customHeight="1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U1159" s="12"/>
      <c r="V1159" s="12"/>
      <c r="W1159" s="12"/>
      <c r="X1159" s="12"/>
    </row>
    <row r="1160" spans="1:24" ht="17.100000000000001" customHeight="1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U1160" s="12"/>
      <c r="V1160" s="12"/>
      <c r="W1160" s="12"/>
      <c r="X1160" s="12"/>
    </row>
    <row r="1161" spans="1:24" ht="17.100000000000001" customHeight="1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U1161" s="12"/>
      <c r="V1161" s="12"/>
      <c r="W1161" s="12"/>
      <c r="X1161" s="12"/>
    </row>
    <row r="1162" spans="1:24" ht="17.100000000000001" customHeight="1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U1162" s="12"/>
      <c r="V1162" s="12"/>
      <c r="W1162" s="12"/>
      <c r="X1162" s="12"/>
    </row>
    <row r="1163" spans="1:24" ht="17.100000000000001" customHeight="1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U1163" s="12"/>
      <c r="V1163" s="12"/>
      <c r="W1163" s="12"/>
      <c r="X1163" s="12"/>
    </row>
    <row r="1164" spans="1:24" ht="17.100000000000001" customHeight="1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U1164" s="12"/>
      <c r="V1164" s="12"/>
      <c r="W1164" s="12"/>
      <c r="X1164" s="12"/>
    </row>
    <row r="1165" spans="1:24" ht="17.100000000000001" customHeight="1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U1165" s="12"/>
      <c r="V1165" s="12"/>
      <c r="W1165" s="12"/>
      <c r="X1165" s="12"/>
    </row>
    <row r="1166" spans="1:24" ht="17.100000000000001" customHeight="1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U1166" s="12"/>
      <c r="V1166" s="12"/>
      <c r="W1166" s="12"/>
      <c r="X1166" s="12"/>
    </row>
    <row r="1167" spans="1:24" ht="17.100000000000001" customHeight="1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U1167" s="12"/>
      <c r="V1167" s="12"/>
      <c r="W1167" s="12"/>
      <c r="X1167" s="12"/>
    </row>
    <row r="1168" spans="1:24" ht="17.100000000000001" customHeight="1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U1168" s="12"/>
      <c r="V1168" s="12"/>
      <c r="W1168" s="12"/>
      <c r="X1168" s="12"/>
    </row>
    <row r="1169" spans="1:24" ht="17.100000000000001" customHeight="1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U1169" s="12"/>
      <c r="V1169" s="12"/>
      <c r="W1169" s="12"/>
      <c r="X1169" s="12"/>
    </row>
    <row r="1170" spans="1:24" ht="17.100000000000001" customHeight="1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U1170" s="12"/>
      <c r="V1170" s="12"/>
      <c r="W1170" s="12"/>
      <c r="X1170" s="12"/>
    </row>
    <row r="1171" spans="1:24" ht="17.100000000000001" customHeight="1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U1171" s="12"/>
      <c r="V1171" s="12"/>
      <c r="W1171" s="12"/>
      <c r="X1171" s="12"/>
    </row>
    <row r="1172" spans="1:24" ht="17.100000000000001" customHeight="1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U1172" s="12"/>
      <c r="V1172" s="12"/>
      <c r="W1172" s="12"/>
      <c r="X1172" s="12"/>
    </row>
    <row r="1173" spans="1:24" ht="17.100000000000001" customHeight="1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U1173" s="12"/>
      <c r="V1173" s="12"/>
      <c r="W1173" s="12"/>
      <c r="X1173" s="12"/>
    </row>
    <row r="1174" spans="1:24" ht="17.100000000000001" customHeight="1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U1174" s="12"/>
      <c r="V1174" s="12"/>
      <c r="W1174" s="12"/>
      <c r="X1174" s="12"/>
    </row>
    <row r="1175" spans="1:24" ht="17.100000000000001" customHeight="1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U1175" s="12"/>
      <c r="V1175" s="12"/>
      <c r="W1175" s="12"/>
      <c r="X1175" s="12"/>
    </row>
    <row r="1176" spans="1:24" ht="17.100000000000001" customHeight="1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U1176" s="12"/>
      <c r="V1176" s="12"/>
      <c r="W1176" s="12"/>
      <c r="X1176" s="12"/>
    </row>
    <row r="1177" spans="1:24" ht="17.100000000000001" customHeight="1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U1177" s="12"/>
      <c r="V1177" s="12"/>
      <c r="W1177" s="12"/>
      <c r="X1177" s="12"/>
    </row>
    <row r="1178" spans="1:24" ht="17.100000000000001" customHeight="1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U1178" s="12"/>
      <c r="V1178" s="12"/>
      <c r="W1178" s="12"/>
      <c r="X1178" s="12"/>
    </row>
    <row r="1179" spans="1:24" ht="17.100000000000001" customHeight="1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U1179" s="12"/>
      <c r="V1179" s="12"/>
      <c r="W1179" s="12"/>
      <c r="X1179" s="12"/>
    </row>
    <row r="1180" spans="1:24" ht="17.100000000000001" customHeight="1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U1180" s="12"/>
      <c r="V1180" s="12"/>
      <c r="W1180" s="12"/>
      <c r="X1180" s="12"/>
    </row>
    <row r="1181" spans="1:24" ht="17.100000000000001" customHeight="1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U1181" s="12"/>
      <c r="V1181" s="12"/>
      <c r="W1181" s="12"/>
      <c r="X1181" s="12"/>
    </row>
    <row r="1182" spans="1:24" ht="17.100000000000001" customHeight="1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U1182" s="12"/>
      <c r="V1182" s="12"/>
      <c r="W1182" s="12"/>
      <c r="X1182" s="12"/>
    </row>
    <row r="1183" spans="1:24" ht="17.100000000000001" customHeight="1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U1183" s="12"/>
      <c r="V1183" s="12"/>
      <c r="W1183" s="12"/>
      <c r="X1183" s="12"/>
    </row>
    <row r="1184" spans="1:24" ht="17.100000000000001" customHeight="1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U1184" s="12"/>
      <c r="V1184" s="12"/>
      <c r="W1184" s="12"/>
      <c r="X1184" s="12"/>
    </row>
    <row r="1185" spans="1:24" ht="17.100000000000001" customHeight="1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U1185" s="12"/>
      <c r="V1185" s="12"/>
      <c r="W1185" s="12"/>
      <c r="X1185" s="12"/>
    </row>
    <row r="1186" spans="1:24" ht="17.100000000000001" customHeight="1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U1186" s="12"/>
      <c r="V1186" s="12"/>
      <c r="W1186" s="12"/>
      <c r="X1186" s="12"/>
    </row>
    <row r="1187" spans="1:24" ht="17.100000000000001" customHeight="1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U1187" s="12"/>
      <c r="V1187" s="12"/>
      <c r="W1187" s="12"/>
      <c r="X1187" s="12"/>
    </row>
    <row r="1188" spans="1:24" ht="17.100000000000001" customHeight="1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U1188" s="12"/>
      <c r="V1188" s="12"/>
      <c r="W1188" s="12"/>
      <c r="X1188" s="12"/>
    </row>
    <row r="1189" spans="1:24" ht="17.100000000000001" customHeight="1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U1189" s="12"/>
      <c r="V1189" s="12"/>
      <c r="W1189" s="12"/>
      <c r="X1189" s="12"/>
    </row>
    <row r="1190" spans="1:24" ht="17.100000000000001" customHeight="1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U1190" s="12"/>
      <c r="V1190" s="12"/>
      <c r="W1190" s="12"/>
      <c r="X1190" s="12"/>
    </row>
    <row r="1191" spans="1:24" ht="17.100000000000001" customHeight="1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U1191" s="12"/>
      <c r="V1191" s="12"/>
      <c r="W1191" s="12"/>
      <c r="X1191" s="12"/>
    </row>
    <row r="1192" spans="1:24" ht="17.100000000000001" customHeight="1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U1192" s="12"/>
      <c r="V1192" s="12"/>
      <c r="W1192" s="12"/>
      <c r="X1192" s="12"/>
    </row>
    <row r="1193" spans="1:24" ht="17.100000000000001" customHeight="1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U1193" s="12"/>
      <c r="V1193" s="12"/>
      <c r="W1193" s="12"/>
      <c r="X1193" s="12"/>
    </row>
    <row r="1194" spans="1:24" ht="17.100000000000001" customHeight="1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U1194" s="12"/>
      <c r="V1194" s="12"/>
      <c r="W1194" s="12"/>
      <c r="X1194" s="12"/>
    </row>
    <row r="1195" spans="1:24" ht="17.100000000000001" customHeight="1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U1195" s="12"/>
      <c r="V1195" s="12"/>
      <c r="W1195" s="12"/>
      <c r="X1195" s="12"/>
    </row>
    <row r="1196" spans="1:24" ht="17.100000000000001" customHeight="1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U1196" s="12"/>
      <c r="V1196" s="12"/>
      <c r="W1196" s="12"/>
      <c r="X1196" s="12"/>
    </row>
    <row r="1197" spans="1:24" ht="17.100000000000001" customHeight="1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U1197" s="12"/>
      <c r="V1197" s="12"/>
      <c r="W1197" s="12"/>
      <c r="X1197" s="12"/>
    </row>
    <row r="1198" spans="1:24" ht="17.100000000000001" customHeight="1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U1198" s="12"/>
      <c r="V1198" s="12"/>
      <c r="W1198" s="12"/>
      <c r="X1198" s="12"/>
    </row>
    <row r="1199" spans="1:24" ht="17.100000000000001" customHeight="1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U1199" s="12"/>
      <c r="V1199" s="12"/>
      <c r="W1199" s="12"/>
      <c r="X1199" s="12"/>
    </row>
    <row r="1200" spans="1:24" ht="17.100000000000001" customHeight="1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U1200" s="12"/>
      <c r="V1200" s="12"/>
      <c r="W1200" s="12"/>
      <c r="X1200" s="12"/>
    </row>
    <row r="1201" spans="1:24" ht="17.100000000000001" customHeight="1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U1201" s="12"/>
      <c r="V1201" s="12"/>
      <c r="W1201" s="12"/>
      <c r="X1201" s="12"/>
    </row>
  </sheetData>
  <mergeCells count="1">
    <mergeCell ref="U2:X2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A6B7-FF1A-4463-B115-2FBFFBFBEE42}">
  <dimension ref="A1:AN109"/>
  <sheetViews>
    <sheetView zoomScale="90" zoomScaleNormal="90" workbookViewId="0">
      <selection activeCell="N22" sqref="N22"/>
    </sheetView>
  </sheetViews>
  <sheetFormatPr defaultRowHeight="15" x14ac:dyDescent="0.25"/>
  <cols>
    <col min="1" max="1" width="5" style="12" customWidth="1"/>
    <col min="2" max="2" width="15.85546875" customWidth="1"/>
    <col min="3" max="3" width="20.42578125" customWidth="1"/>
    <col min="4" max="4" width="4.5703125" style="12" customWidth="1"/>
    <col min="5" max="5" width="13.140625" bestFit="1" customWidth="1"/>
    <col min="6" max="6" width="15.42578125" bestFit="1" customWidth="1"/>
    <col min="7" max="7" width="4.85546875" style="12" customWidth="1"/>
    <col min="8" max="8" width="19" bestFit="1" customWidth="1"/>
    <col min="9" max="9" width="15.42578125" bestFit="1" customWidth="1"/>
    <col min="10" max="10" width="3.5703125" style="12" customWidth="1"/>
    <col min="11" max="11" width="13.140625" bestFit="1" customWidth="1"/>
    <col min="12" max="12" width="15.140625" customWidth="1"/>
    <col min="13" max="13" width="3.28515625" style="12" customWidth="1"/>
    <col min="14" max="14" width="13.140625" bestFit="1" customWidth="1"/>
    <col min="15" max="15" width="25.85546875" customWidth="1"/>
    <col min="16" max="40" width="9.140625" style="12"/>
  </cols>
  <sheetData>
    <row r="1" spans="2:15" s="12" customFormat="1" x14ac:dyDescent="0.25"/>
    <row r="2" spans="2:15" s="12" customFormat="1" ht="18.75" x14ac:dyDescent="0.3">
      <c r="F2" s="49" t="s">
        <v>4320</v>
      </c>
      <c r="G2" s="50"/>
      <c r="H2" s="50"/>
      <c r="I2" s="50"/>
      <c r="J2" s="50"/>
      <c r="K2" s="51"/>
    </row>
    <row r="3" spans="2:15" s="12" customFormat="1" x14ac:dyDescent="0.25">
      <c r="B3" s="11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0"/>
    </row>
    <row r="4" spans="2:15" x14ac:dyDescent="0.25">
      <c r="B4" s="45" t="s">
        <v>4298</v>
      </c>
      <c r="C4" s="46"/>
      <c r="D4" s="13"/>
      <c r="E4" s="45" t="s">
        <v>4299</v>
      </c>
      <c r="F4" s="46"/>
      <c r="G4" s="13"/>
      <c r="H4" s="45" t="s">
        <v>4300</v>
      </c>
      <c r="I4" s="46"/>
      <c r="J4" s="13"/>
      <c r="K4" s="45" t="s">
        <v>4299</v>
      </c>
      <c r="L4" s="46"/>
      <c r="M4" s="13"/>
      <c r="N4" s="47" t="s">
        <v>4319</v>
      </c>
      <c r="O4" s="48"/>
    </row>
    <row r="5" spans="2:15" x14ac:dyDescent="0.25">
      <c r="B5" s="21"/>
      <c r="C5" s="22"/>
      <c r="E5" s="7"/>
      <c r="F5" s="8"/>
      <c r="H5" s="7"/>
      <c r="I5" s="8"/>
      <c r="K5" s="7"/>
      <c r="L5" s="8"/>
      <c r="N5" s="7"/>
      <c r="O5" s="8"/>
    </row>
    <row r="6" spans="2:15" x14ac:dyDescent="0.25">
      <c r="B6" s="27" t="s">
        <v>4296</v>
      </c>
      <c r="C6" s="34" t="s">
        <v>4297</v>
      </c>
      <c r="E6" s="27" t="s">
        <v>4313</v>
      </c>
      <c r="F6" s="34" t="s">
        <v>4314</v>
      </c>
      <c r="H6" s="26" t="s">
        <v>4315</v>
      </c>
      <c r="I6" s="34" t="s">
        <v>4314</v>
      </c>
      <c r="K6" s="27" t="s">
        <v>4316</v>
      </c>
      <c r="L6" s="34" t="s">
        <v>4314</v>
      </c>
      <c r="N6" s="27" t="s">
        <v>4317</v>
      </c>
      <c r="O6" s="27" t="s">
        <v>4318</v>
      </c>
    </row>
    <row r="7" spans="2:15" x14ac:dyDescent="0.25">
      <c r="B7" s="31" t="s">
        <v>2406</v>
      </c>
      <c r="C7" s="29">
        <v>195620.11000000002</v>
      </c>
      <c r="E7" s="36" t="s">
        <v>3071</v>
      </c>
      <c r="F7" s="24">
        <v>759</v>
      </c>
      <c r="H7" s="23" t="s">
        <v>3069</v>
      </c>
      <c r="I7" s="24">
        <v>753</v>
      </c>
      <c r="K7" s="23" t="s">
        <v>4280</v>
      </c>
      <c r="L7" s="24">
        <v>746</v>
      </c>
      <c r="N7" s="23" t="s">
        <v>4301</v>
      </c>
      <c r="O7" s="42">
        <v>124313.23000000005</v>
      </c>
    </row>
    <row r="8" spans="2:15" x14ac:dyDescent="0.25">
      <c r="B8" s="32" t="s">
        <v>2409</v>
      </c>
      <c r="C8" s="30">
        <v>167459.93</v>
      </c>
      <c r="E8" s="37" t="s">
        <v>3073</v>
      </c>
      <c r="F8" s="25">
        <v>690</v>
      </c>
      <c r="H8" s="23" t="s">
        <v>3067</v>
      </c>
      <c r="I8" s="25">
        <v>712</v>
      </c>
      <c r="K8" s="23" t="s">
        <v>4281</v>
      </c>
      <c r="L8" s="25">
        <v>674</v>
      </c>
      <c r="N8" s="23" t="s">
        <v>4302</v>
      </c>
      <c r="O8" s="43">
        <v>112344.77999999998</v>
      </c>
    </row>
    <row r="9" spans="2:15" x14ac:dyDescent="0.25">
      <c r="B9" s="32" t="s">
        <v>2408</v>
      </c>
      <c r="C9" s="30">
        <v>192126.55999999994</v>
      </c>
      <c r="E9" s="37" t="s">
        <v>3074</v>
      </c>
      <c r="F9" s="25">
        <v>724</v>
      </c>
      <c r="H9" s="23" t="s">
        <v>3065</v>
      </c>
      <c r="I9" s="25">
        <v>664</v>
      </c>
      <c r="K9" s="23" t="s">
        <v>4282</v>
      </c>
      <c r="L9" s="25">
        <v>714</v>
      </c>
      <c r="N9" s="23" t="s">
        <v>4303</v>
      </c>
      <c r="O9" s="43">
        <v>123840.92999999995</v>
      </c>
    </row>
    <row r="10" spans="2:15" x14ac:dyDescent="0.25">
      <c r="B10" s="32" t="s">
        <v>2403</v>
      </c>
      <c r="C10" s="30">
        <v>175651.40999999997</v>
      </c>
      <c r="E10" s="37" t="s">
        <v>3072</v>
      </c>
      <c r="F10" s="25">
        <v>682</v>
      </c>
      <c r="H10" s="23" t="s">
        <v>3068</v>
      </c>
      <c r="I10" s="25">
        <v>675</v>
      </c>
      <c r="K10" s="23" t="s">
        <v>4278</v>
      </c>
      <c r="L10" s="25">
        <v>770</v>
      </c>
      <c r="N10" s="23" t="s">
        <v>4304</v>
      </c>
      <c r="O10" s="43">
        <v>109186.05</v>
      </c>
    </row>
    <row r="11" spans="2:15" x14ac:dyDescent="0.25">
      <c r="B11" s="32" t="s">
        <v>2404</v>
      </c>
      <c r="C11" s="30">
        <v>151722.39000000001</v>
      </c>
      <c r="E11" s="38" t="s">
        <v>3070</v>
      </c>
      <c r="F11" s="25">
        <v>680</v>
      </c>
      <c r="H11" s="23" t="s">
        <v>3066</v>
      </c>
      <c r="I11" s="25">
        <v>731</v>
      </c>
      <c r="K11" s="23" t="s">
        <v>4279</v>
      </c>
      <c r="L11" s="25">
        <v>631</v>
      </c>
      <c r="N11" s="23" t="s">
        <v>4305</v>
      </c>
      <c r="O11" s="43">
        <v>135142.59</v>
      </c>
    </row>
    <row r="12" spans="2:15" x14ac:dyDescent="0.25">
      <c r="B12" s="32" t="s">
        <v>2407</v>
      </c>
      <c r="C12" s="30">
        <v>195612.60999999996</v>
      </c>
      <c r="E12" s="27" t="s">
        <v>4295</v>
      </c>
      <c r="F12" s="28">
        <v>3535</v>
      </c>
      <c r="H12" s="27" t="s">
        <v>4295</v>
      </c>
      <c r="I12" s="28">
        <v>3535</v>
      </c>
      <c r="K12" s="27" t="s">
        <v>4295</v>
      </c>
      <c r="L12" s="27">
        <v>3535</v>
      </c>
      <c r="N12" s="23" t="s">
        <v>4306</v>
      </c>
      <c r="O12" s="43">
        <v>170616.13000000006</v>
      </c>
    </row>
    <row r="13" spans="2:15" x14ac:dyDescent="0.25">
      <c r="B13" s="33" t="s">
        <v>2405</v>
      </c>
      <c r="C13" s="30">
        <v>186568.95000000007</v>
      </c>
      <c r="E13" s="12"/>
      <c r="F13" s="12"/>
      <c r="H13" s="12"/>
      <c r="I13" s="12"/>
      <c r="K13" s="12"/>
      <c r="L13" s="12"/>
      <c r="N13" s="23" t="s">
        <v>4307</v>
      </c>
      <c r="O13" s="43">
        <v>85784.63999999997</v>
      </c>
    </row>
    <row r="14" spans="2:15" x14ac:dyDescent="0.25">
      <c r="B14" s="35" t="s">
        <v>4295</v>
      </c>
      <c r="C14" s="28">
        <v>1264761.96</v>
      </c>
      <c r="E14" s="12"/>
      <c r="F14" s="12"/>
      <c r="H14" s="12"/>
      <c r="I14" s="12"/>
      <c r="K14" s="12"/>
      <c r="L14" s="12"/>
      <c r="N14" s="23" t="s">
        <v>4308</v>
      </c>
      <c r="O14" s="43">
        <v>86343.210000000036</v>
      </c>
    </row>
    <row r="15" spans="2:15" x14ac:dyDescent="0.25">
      <c r="B15" s="14"/>
      <c r="C15" s="12"/>
      <c r="E15" s="12"/>
      <c r="F15" s="12"/>
      <c r="H15" s="12"/>
      <c r="I15" s="12"/>
      <c r="K15" s="12"/>
      <c r="L15" s="12"/>
      <c r="N15" s="23" t="s">
        <v>4309</v>
      </c>
      <c r="O15" s="43">
        <v>69321.650000000023</v>
      </c>
    </row>
    <row r="16" spans="2:15" x14ac:dyDescent="0.25">
      <c r="B16" s="14"/>
      <c r="C16" s="12"/>
      <c r="E16" s="12"/>
      <c r="F16" s="12"/>
      <c r="H16" s="12"/>
      <c r="I16" s="12"/>
      <c r="K16" s="12"/>
      <c r="L16" s="12"/>
      <c r="N16" s="23" t="s">
        <v>4310</v>
      </c>
      <c r="O16" s="43">
        <v>89834.820000000022</v>
      </c>
    </row>
    <row r="17" spans="2:15" x14ac:dyDescent="0.25">
      <c r="B17" s="14"/>
      <c r="C17" s="12"/>
      <c r="E17" s="12"/>
      <c r="F17" s="12"/>
      <c r="H17" s="12"/>
      <c r="I17" s="12"/>
      <c r="K17" s="12"/>
      <c r="L17" s="12"/>
      <c r="N17" s="23" t="s">
        <v>4311</v>
      </c>
      <c r="O17" s="43">
        <v>75493.430000000008</v>
      </c>
    </row>
    <row r="18" spans="2:15" x14ac:dyDescent="0.25">
      <c r="B18" s="14"/>
      <c r="C18" s="12"/>
      <c r="E18" s="12"/>
      <c r="F18" s="12"/>
      <c r="H18" s="12"/>
      <c r="I18" s="12"/>
      <c r="K18" s="12"/>
      <c r="L18" s="12"/>
      <c r="N18" s="23" t="s">
        <v>4312</v>
      </c>
      <c r="O18" s="43">
        <v>82540.5</v>
      </c>
    </row>
    <row r="19" spans="2:15" x14ac:dyDescent="0.25">
      <c r="B19" s="14"/>
      <c r="C19" s="12"/>
      <c r="E19" s="12"/>
      <c r="F19" s="12"/>
      <c r="H19" s="12"/>
      <c r="I19" s="12"/>
      <c r="K19" s="12"/>
      <c r="L19" s="12"/>
      <c r="N19" s="27" t="s">
        <v>4295</v>
      </c>
      <c r="O19" s="44">
        <v>1264761.96</v>
      </c>
    </row>
    <row r="20" spans="2:15" x14ac:dyDescent="0.25">
      <c r="B20" s="14"/>
      <c r="C20" s="12"/>
      <c r="E20" s="12"/>
      <c r="F20" s="12"/>
      <c r="H20" s="12"/>
      <c r="I20" s="12"/>
      <c r="K20" s="12"/>
      <c r="L20" s="12"/>
      <c r="N20" s="12"/>
      <c r="O20" s="15"/>
    </row>
    <row r="21" spans="2:15" x14ac:dyDescent="0.25">
      <c r="B21" s="14"/>
      <c r="C21" s="12"/>
      <c r="E21" s="12"/>
      <c r="F21" s="12"/>
      <c r="H21" s="12"/>
      <c r="I21" s="12"/>
      <c r="K21" s="12"/>
      <c r="L21" s="12"/>
      <c r="N21" s="12"/>
      <c r="O21" s="15"/>
    </row>
    <row r="22" spans="2:15" x14ac:dyDescent="0.25">
      <c r="B22" s="14"/>
      <c r="C22" s="12"/>
      <c r="E22" s="12"/>
      <c r="F22" s="12"/>
      <c r="H22" s="12"/>
      <c r="I22" s="12"/>
      <c r="K22" s="12"/>
      <c r="L22" s="12"/>
      <c r="N22" s="12"/>
      <c r="O22" s="15"/>
    </row>
    <row r="23" spans="2:15" x14ac:dyDescent="0.25">
      <c r="B23" s="14"/>
      <c r="C23" s="12"/>
      <c r="E23" s="12"/>
      <c r="F23" s="12"/>
      <c r="H23" s="12"/>
      <c r="I23" s="12"/>
      <c r="K23" s="12"/>
      <c r="L23" s="12"/>
      <c r="N23" s="12"/>
      <c r="O23" s="15"/>
    </row>
    <row r="24" spans="2:15" x14ac:dyDescent="0.25">
      <c r="B24" s="39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1"/>
    </row>
    <row r="25" spans="2:15" x14ac:dyDescent="0.25">
      <c r="B25" s="12"/>
      <c r="C25" s="12"/>
      <c r="E25" s="12"/>
      <c r="F25" s="12"/>
      <c r="H25" s="12"/>
      <c r="I25" s="12"/>
      <c r="K25" s="12"/>
      <c r="L25" s="12"/>
      <c r="N25" s="12"/>
      <c r="O25" s="12"/>
    </row>
    <row r="26" spans="2:15" x14ac:dyDescent="0.25">
      <c r="B26" s="12"/>
      <c r="C26" s="12"/>
      <c r="E26" s="12"/>
      <c r="F26" s="12"/>
      <c r="H26" s="12"/>
      <c r="I26" s="12"/>
      <c r="K26" s="12"/>
      <c r="L26" s="12"/>
      <c r="N26" s="12"/>
      <c r="O26" s="12"/>
    </row>
    <row r="27" spans="2:15" s="12" customFormat="1" x14ac:dyDescent="0.25"/>
    <row r="28" spans="2:15" s="12" customFormat="1" x14ac:dyDescent="0.25"/>
    <row r="29" spans="2:15" s="12" customFormat="1" x14ac:dyDescent="0.25"/>
    <row r="30" spans="2:15" s="12" customFormat="1" x14ac:dyDescent="0.25"/>
    <row r="31" spans="2:15" s="12" customFormat="1" x14ac:dyDescent="0.25"/>
    <row r="32" spans="2:15" s="12" customFormat="1" x14ac:dyDescent="0.25"/>
    <row r="33" s="12" customFormat="1" x14ac:dyDescent="0.25"/>
    <row r="34" s="12" customFormat="1" x14ac:dyDescent="0.25"/>
    <row r="35" s="12" customFormat="1" x14ac:dyDescent="0.25"/>
    <row r="36" s="12" customFormat="1" x14ac:dyDescent="0.25"/>
    <row r="37" s="12" customFormat="1" x14ac:dyDescent="0.25"/>
    <row r="38" s="12" customFormat="1" x14ac:dyDescent="0.25"/>
    <row r="39" s="12" customFormat="1" x14ac:dyDescent="0.25"/>
    <row r="40" s="12" customFormat="1" x14ac:dyDescent="0.25"/>
    <row r="41" s="12" customFormat="1" x14ac:dyDescent="0.25"/>
    <row r="42" s="12" customFormat="1" x14ac:dyDescent="0.25"/>
    <row r="43" s="12" customFormat="1" x14ac:dyDescent="0.25"/>
    <row r="44" s="12" customFormat="1" x14ac:dyDescent="0.25"/>
    <row r="45" s="12" customFormat="1" x14ac:dyDescent="0.25"/>
    <row r="46" s="12" customFormat="1" x14ac:dyDescent="0.25"/>
    <row r="47" s="12" customFormat="1" x14ac:dyDescent="0.25"/>
    <row r="48" s="12" customFormat="1" x14ac:dyDescent="0.25"/>
    <row r="49" s="12" customFormat="1" x14ac:dyDescent="0.25"/>
    <row r="50" s="12" customFormat="1" x14ac:dyDescent="0.25"/>
    <row r="51" s="12" customFormat="1" x14ac:dyDescent="0.25"/>
    <row r="52" s="12" customFormat="1" x14ac:dyDescent="0.25"/>
    <row r="53" s="12" customFormat="1" x14ac:dyDescent="0.25"/>
    <row r="54" s="12" customFormat="1" x14ac:dyDescent="0.25"/>
    <row r="55" s="12" customFormat="1" x14ac:dyDescent="0.25"/>
    <row r="56" s="12" customFormat="1" x14ac:dyDescent="0.25"/>
    <row r="57" s="12" customFormat="1" x14ac:dyDescent="0.25"/>
    <row r="58" s="12" customFormat="1" x14ac:dyDescent="0.25"/>
    <row r="59" s="12" customFormat="1" x14ac:dyDescent="0.25"/>
    <row r="60" s="12" customFormat="1" x14ac:dyDescent="0.25"/>
    <row r="61" s="12" customFormat="1" x14ac:dyDescent="0.25"/>
    <row r="62" s="12" customFormat="1" x14ac:dyDescent="0.25"/>
    <row r="63" s="12" customFormat="1" x14ac:dyDescent="0.25"/>
    <row r="64" s="12" customFormat="1" x14ac:dyDescent="0.25"/>
    <row r="65" s="12" customFormat="1" x14ac:dyDescent="0.25"/>
    <row r="66" s="12" customFormat="1" x14ac:dyDescent="0.25"/>
    <row r="67" s="12" customFormat="1" x14ac:dyDescent="0.25"/>
    <row r="68" s="12" customFormat="1" x14ac:dyDescent="0.25"/>
    <row r="69" s="12" customFormat="1" x14ac:dyDescent="0.25"/>
    <row r="70" s="12" customFormat="1" x14ac:dyDescent="0.25"/>
    <row r="71" s="12" customFormat="1" x14ac:dyDescent="0.25"/>
    <row r="72" s="12" customFormat="1" x14ac:dyDescent="0.25"/>
    <row r="73" s="12" customFormat="1" x14ac:dyDescent="0.25"/>
    <row r="74" s="12" customFormat="1" x14ac:dyDescent="0.25"/>
    <row r="75" s="12" customFormat="1" x14ac:dyDescent="0.25"/>
    <row r="76" s="12" customFormat="1" x14ac:dyDescent="0.25"/>
    <row r="77" s="12" customFormat="1" x14ac:dyDescent="0.25"/>
    <row r="78" s="12" customFormat="1" x14ac:dyDescent="0.25"/>
    <row r="79" s="12" customFormat="1" x14ac:dyDescent="0.25"/>
    <row r="80" s="12" customFormat="1" x14ac:dyDescent="0.25"/>
    <row r="81" s="12" customFormat="1" x14ac:dyDescent="0.25"/>
    <row r="82" s="12" customFormat="1" x14ac:dyDescent="0.25"/>
    <row r="83" s="12" customFormat="1" x14ac:dyDescent="0.25"/>
    <row r="84" s="12" customFormat="1" x14ac:dyDescent="0.25"/>
    <row r="85" s="12" customFormat="1" x14ac:dyDescent="0.25"/>
    <row r="86" s="12" customFormat="1" x14ac:dyDescent="0.25"/>
    <row r="87" s="12" customFormat="1" x14ac:dyDescent="0.25"/>
    <row r="88" s="12" customFormat="1" x14ac:dyDescent="0.25"/>
    <row r="89" s="12" customFormat="1" x14ac:dyDescent="0.25"/>
    <row r="90" s="12" customFormat="1" x14ac:dyDescent="0.25"/>
    <row r="91" s="12" customFormat="1" x14ac:dyDescent="0.25"/>
    <row r="92" s="12" customFormat="1" x14ac:dyDescent="0.25"/>
    <row r="93" s="12" customFormat="1" x14ac:dyDescent="0.25"/>
    <row r="94" s="12" customFormat="1" x14ac:dyDescent="0.25"/>
    <row r="95" s="12" customFormat="1" x14ac:dyDescent="0.25"/>
    <row r="96" s="12" customFormat="1" x14ac:dyDescent="0.25"/>
    <row r="97" s="12" customFormat="1" x14ac:dyDescent="0.25"/>
    <row r="98" s="12" customFormat="1" x14ac:dyDescent="0.25"/>
    <row r="99" s="12" customFormat="1" x14ac:dyDescent="0.25"/>
    <row r="100" s="12" customFormat="1" x14ac:dyDescent="0.25"/>
    <row r="101" s="12" customFormat="1" x14ac:dyDescent="0.25"/>
    <row r="102" s="12" customFormat="1" x14ac:dyDescent="0.25"/>
    <row r="103" s="12" customFormat="1" x14ac:dyDescent="0.25"/>
    <row r="104" s="12" customFormat="1" x14ac:dyDescent="0.25"/>
    <row r="105" s="12" customFormat="1" x14ac:dyDescent="0.25"/>
    <row r="106" s="12" customFormat="1" x14ac:dyDescent="0.25"/>
    <row r="107" s="12" customFormat="1" x14ac:dyDescent="0.25"/>
    <row r="108" s="12" customFormat="1" x14ac:dyDescent="0.25"/>
    <row r="109" s="12" customFormat="1" x14ac:dyDescent="0.25"/>
  </sheetData>
  <mergeCells count="6">
    <mergeCell ref="F2:K2"/>
    <mergeCell ref="B4:C4"/>
    <mergeCell ref="E4:F4"/>
    <mergeCell ref="H4:I4"/>
    <mergeCell ref="K4:L4"/>
    <mergeCell ref="N4:O4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Dataset</vt:lpstr>
      <vt:lpstr>Transformed dataset</vt:lpstr>
      <vt:lpstr>Trends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warehouse Email</cp:lastModifiedBy>
  <dcterms:created xsi:type="dcterms:W3CDTF">2025-06-21T13:19:12Z</dcterms:created>
  <dcterms:modified xsi:type="dcterms:W3CDTF">2026-06-11T09:52:14Z</dcterms:modified>
</cp:coreProperties>
</file>